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L:\Trading\PORTAFOLIO\"/>
    </mc:Choice>
  </mc:AlternateContent>
  <bookViews>
    <workbookView xWindow="0" yWindow="0" windowWidth="2175" windowHeight="0" firstSheet="1" activeTab="1"/>
  </bookViews>
  <sheets>
    <sheet name="Book Trading" sheetId="1" state="hidden" r:id="rId1"/>
    <sheet name="CARTERA GS" sheetId="2" r:id="rId2"/>
    <sheet name="CARTERA USD" sheetId="6" r:id="rId3"/>
    <sheet name="Hoja3" sheetId="5" r:id="rId4"/>
    <sheet name="Hoja2" sheetId="4" state="hidden" r:id="rId5"/>
    <sheet name="Hoja1" sheetId="3" state="hidden" r:id="rId6"/>
  </sheets>
  <externalReferences>
    <externalReference r:id="rId7"/>
  </externalReferences>
  <definedNames>
    <definedName name="_xlnm._FilterDatabase" localSheetId="0" hidden="1">'Book Trading'!$B$2:$O$7</definedName>
    <definedName name="_xlnm._FilterDatabase" localSheetId="1" hidden="1">'CARTERA GS'!$N$41:$N$42</definedName>
  </definedNames>
  <calcPr calcId="162913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3" i="2" l="1"/>
  <c r="Q43" i="2"/>
  <c r="P43" i="2"/>
  <c r="R40" i="2"/>
  <c r="Q40" i="2"/>
  <c r="P40" i="2"/>
  <c r="R39" i="2"/>
  <c r="I39" i="2"/>
  <c r="F39" i="2"/>
  <c r="G39" i="2" s="1"/>
  <c r="D39" i="2"/>
  <c r="R38" i="2"/>
  <c r="I38" i="2"/>
  <c r="F38" i="2"/>
  <c r="G38" i="2" s="1"/>
  <c r="D38" i="2"/>
  <c r="Q37" i="2"/>
  <c r="R37" i="2" s="1"/>
  <c r="P37" i="2"/>
  <c r="I37" i="2"/>
  <c r="F37" i="2"/>
  <c r="D37" i="2"/>
  <c r="R36" i="2"/>
  <c r="I36" i="2"/>
  <c r="F36" i="2"/>
  <c r="G36" i="2" s="1"/>
  <c r="D36" i="2"/>
  <c r="R35" i="2"/>
  <c r="I35" i="2"/>
  <c r="F35" i="2"/>
  <c r="G35" i="2" s="1"/>
  <c r="D35" i="2"/>
  <c r="R34" i="2"/>
  <c r="I34" i="2"/>
  <c r="F34" i="2"/>
  <c r="G34" i="2" s="1"/>
  <c r="D34" i="2"/>
  <c r="R33" i="2"/>
  <c r="I33" i="2"/>
  <c r="F33" i="2"/>
  <c r="G33" i="2" s="1"/>
  <c r="D33" i="2"/>
  <c r="R32" i="2"/>
  <c r="I32" i="2"/>
  <c r="F32" i="2"/>
  <c r="G32" i="2" s="1"/>
  <c r="D32" i="2"/>
  <c r="R31" i="2"/>
  <c r="I31" i="2"/>
  <c r="F31" i="2"/>
  <c r="G31" i="2" s="1"/>
  <c r="D31" i="2"/>
  <c r="R30" i="2"/>
  <c r="I30" i="2"/>
  <c r="F30" i="2"/>
  <c r="G30" i="2" s="1"/>
  <c r="D30" i="2"/>
  <c r="R29" i="2"/>
  <c r="I29" i="2"/>
  <c r="F29" i="2"/>
  <c r="G29" i="2" s="1"/>
  <c r="D29" i="2"/>
  <c r="R28" i="2"/>
  <c r="I28" i="2"/>
  <c r="F28" i="2"/>
  <c r="G28" i="2" s="1"/>
  <c r="D28" i="2"/>
  <c r="R27" i="2"/>
  <c r="I27" i="2"/>
  <c r="F27" i="2"/>
  <c r="G27" i="2" s="1"/>
  <c r="D27" i="2"/>
  <c r="R26" i="2"/>
  <c r="I26" i="2"/>
  <c r="F26" i="2"/>
  <c r="G26" i="2" s="1"/>
  <c r="D26" i="2"/>
  <c r="R25" i="2"/>
  <c r="I25" i="2"/>
  <c r="F25" i="2"/>
  <c r="G25" i="2" s="1"/>
  <c r="D25" i="2"/>
  <c r="R24" i="2"/>
  <c r="I24" i="2"/>
  <c r="F24" i="2"/>
  <c r="G24" i="2" s="1"/>
  <c r="D24" i="2"/>
  <c r="R23" i="2"/>
  <c r="P23" i="2"/>
  <c r="I23" i="2"/>
  <c r="F23" i="2"/>
  <c r="D23" i="2"/>
  <c r="R22" i="2"/>
  <c r="I22" i="2"/>
  <c r="F22" i="2"/>
  <c r="G22" i="2" s="1"/>
  <c r="D22" i="2"/>
  <c r="R21" i="2"/>
  <c r="I21" i="2"/>
  <c r="F21" i="2"/>
  <c r="G21" i="2" s="1"/>
  <c r="D21" i="2"/>
  <c r="R20" i="2"/>
  <c r="I20" i="2"/>
  <c r="F20" i="2"/>
  <c r="G20" i="2" s="1"/>
  <c r="D20" i="2"/>
  <c r="R19" i="2"/>
  <c r="I19" i="2"/>
  <c r="F19" i="2"/>
  <c r="G19" i="2" s="1"/>
  <c r="D19" i="2"/>
  <c r="R18" i="2"/>
  <c r="I18" i="2"/>
  <c r="F18" i="2"/>
  <c r="G18" i="2" s="1"/>
  <c r="D18" i="2"/>
  <c r="R17" i="2"/>
  <c r="I17" i="2"/>
  <c r="F17" i="2"/>
  <c r="G17" i="2" s="1"/>
  <c r="D17" i="2"/>
  <c r="R16" i="2"/>
  <c r="P16" i="2"/>
  <c r="L16" i="2"/>
  <c r="I16" i="2"/>
  <c r="F16" i="2"/>
  <c r="D16" i="2"/>
  <c r="R15" i="2"/>
  <c r="L15" i="2"/>
  <c r="P15" i="2" s="1"/>
  <c r="I15" i="2"/>
  <c r="F15" i="2"/>
  <c r="D15" i="2"/>
  <c r="R14" i="2"/>
  <c r="I14" i="2"/>
  <c r="F14" i="2"/>
  <c r="G14" i="2" s="1"/>
  <c r="D14" i="2"/>
  <c r="R13" i="2"/>
  <c r="I13" i="2"/>
  <c r="F13" i="2"/>
  <c r="G13" i="2" s="1"/>
  <c r="D13" i="2"/>
  <c r="R12" i="2"/>
  <c r="O12" i="2"/>
  <c r="I12" i="2"/>
  <c r="F12" i="2"/>
  <c r="G12" i="2" s="1"/>
  <c r="D12" i="2"/>
  <c r="R11" i="2"/>
  <c r="I11" i="2"/>
  <c r="F11" i="2"/>
  <c r="G11" i="2" s="1"/>
  <c r="D11" i="2"/>
  <c r="R10" i="2"/>
  <c r="I10" i="2"/>
  <c r="F10" i="2"/>
  <c r="G10" i="2" s="1"/>
  <c r="D10" i="2"/>
  <c r="Q9" i="2"/>
  <c r="R9" i="2" s="1"/>
  <c r="I9" i="2"/>
  <c r="F9" i="2"/>
  <c r="G9" i="2" s="1"/>
  <c r="D9" i="2"/>
  <c r="Q8" i="2"/>
  <c r="R8" i="2" s="1"/>
  <c r="I8" i="2"/>
  <c r="F8" i="2"/>
  <c r="G8" i="2" s="1"/>
  <c r="D8" i="2"/>
  <c r="Q7" i="2"/>
  <c r="R7" i="2" s="1"/>
  <c r="I7" i="2"/>
  <c r="F7" i="2"/>
  <c r="G7" i="2" s="1"/>
  <c r="D7" i="2"/>
  <c r="Q6" i="2"/>
  <c r="R6" i="2" s="1"/>
  <c r="I6" i="2"/>
  <c r="F6" i="2"/>
  <c r="G6" i="2" s="1"/>
  <c r="D6" i="2"/>
  <c r="R5" i="2"/>
  <c r="I5" i="2"/>
  <c r="F5" i="2"/>
  <c r="G5" i="2" s="1"/>
  <c r="D5" i="2"/>
  <c r="R4" i="2"/>
  <c r="I4" i="2"/>
  <c r="F4" i="2"/>
  <c r="G4" i="2" s="1"/>
  <c r="D4" i="2"/>
  <c r="R3" i="2"/>
  <c r="I3" i="2"/>
  <c r="F3" i="2"/>
  <c r="G3" i="2" s="1"/>
  <c r="D3" i="2"/>
  <c r="H40" i="2" l="1"/>
  <c r="G23" i="2"/>
  <c r="G37" i="2"/>
  <c r="G15" i="2"/>
  <c r="G16" i="2"/>
  <c r="E5" i="6"/>
  <c r="F5" i="6" s="1"/>
  <c r="E6" i="6"/>
  <c r="F6" i="6" s="1"/>
  <c r="E4" i="6"/>
  <c r="C5" i="6"/>
  <c r="C6" i="6"/>
  <c r="C4" i="6"/>
  <c r="O4" i="6"/>
  <c r="O9" i="6" s="1"/>
  <c r="P9" i="6" s="1"/>
  <c r="F4" i="6" l="1"/>
  <c r="V4" i="6"/>
  <c r="V6" i="6"/>
  <c r="W6" i="6" s="1"/>
  <c r="V5" i="6"/>
  <c r="W5" i="6" s="1"/>
  <c r="W4" i="6" l="1"/>
  <c r="W7" i="6" s="1"/>
  <c r="X7" i="6" s="1"/>
  <c r="W8" i="6" s="1"/>
  <c r="V7" i="6"/>
  <c r="M59" i="2" l="1"/>
  <c r="B22" i="1" l="1"/>
  <c r="H16" i="1"/>
  <c r="H15" i="1" l="1"/>
  <c r="H14" i="1"/>
  <c r="H13" i="1" l="1"/>
  <c r="P4" i="1" l="1"/>
  <c r="M16" i="1" s="1"/>
  <c r="C22" i="1"/>
  <c r="H11" i="1"/>
  <c r="M13" i="1" l="1"/>
  <c r="M15" i="1"/>
  <c r="M14" i="1"/>
  <c r="M8" i="1"/>
  <c r="M9" i="1"/>
  <c r="M10" i="1"/>
  <c r="M11" i="1"/>
  <c r="M12" i="1"/>
  <c r="M4" i="1"/>
  <c r="M5" i="1"/>
  <c r="M6" i="1"/>
  <c r="M7" i="1"/>
  <c r="H12" i="1"/>
  <c r="H10" i="1" l="1"/>
  <c r="H9" i="1"/>
  <c r="H8" i="1" l="1"/>
  <c r="M3" i="1" l="1"/>
  <c r="H4" i="1" l="1"/>
  <c r="H7" i="1"/>
  <c r="H6" i="1" l="1"/>
  <c r="H3" i="1"/>
  <c r="H5" i="1"/>
  <c r="C18" i="1" l="1"/>
  <c r="W31" i="2" l="1"/>
  <c r="X31" i="2" s="1"/>
  <c r="W23" i="2"/>
  <c r="X23" i="2" s="1"/>
  <c r="W28" i="2"/>
  <c r="X28" i="2" s="1"/>
  <c r="W37" i="2"/>
  <c r="X37" i="2" s="1"/>
  <c r="W8" i="2"/>
  <c r="X8" i="2"/>
  <c r="W38" i="2"/>
  <c r="X38" i="2" s="1"/>
  <c r="W25" i="2"/>
  <c r="X25" i="2" s="1"/>
  <c r="W26" i="2"/>
  <c r="X26" i="2" s="1"/>
  <c r="W35" i="2"/>
  <c r="X35" i="2"/>
  <c r="W18" i="2"/>
  <c r="X18" i="2" s="1"/>
  <c r="W30" i="2"/>
  <c r="X30" i="2" s="1"/>
  <c r="W10" i="2"/>
  <c r="X10" i="2" s="1"/>
  <c r="W7" i="2"/>
  <c r="X7" i="2" s="1"/>
  <c r="W21" i="2"/>
  <c r="X21" i="2"/>
  <c r="W15" i="2"/>
  <c r="X15" i="2" s="1"/>
  <c r="W11" i="2"/>
  <c r="X11" i="2"/>
  <c r="W33" i="2"/>
  <c r="X33" i="2" s="1"/>
  <c r="W14" i="2"/>
  <c r="X14" i="2" s="1"/>
  <c r="W6" i="2"/>
  <c r="X6" i="2"/>
  <c r="W13" i="2"/>
  <c r="X13" i="2"/>
  <c r="W34" i="2"/>
  <c r="X34" i="2" s="1"/>
  <c r="W17" i="2"/>
  <c r="X17" i="2" s="1"/>
  <c r="W32" i="2"/>
  <c r="X32" i="2" s="1"/>
  <c r="W27" i="2"/>
  <c r="X27" i="2"/>
  <c r="W9" i="2"/>
  <c r="X9" i="2"/>
  <c r="W4" i="2"/>
  <c r="X4" i="2" s="1"/>
  <c r="W24" i="2"/>
  <c r="X24" i="2" s="1"/>
  <c r="W36" i="2"/>
  <c r="X36" i="2" s="1"/>
  <c r="W19" i="2"/>
  <c r="X19" i="2" s="1"/>
  <c r="W39" i="2"/>
  <c r="X39" i="2"/>
  <c r="W16" i="2"/>
  <c r="X16" i="2" s="1"/>
  <c r="W3" i="2"/>
  <c r="W22" i="2"/>
  <c r="X22" i="2" s="1"/>
  <c r="W20" i="2"/>
  <c r="X20" i="2" s="1"/>
  <c r="W29" i="2"/>
  <c r="X29" i="2" s="1"/>
  <c r="W5" i="2"/>
  <c r="X5" i="2" s="1"/>
  <c r="W12" i="2"/>
  <c r="X12" i="2" s="1"/>
  <c r="X41" i="2" l="1"/>
  <c r="W41" i="2"/>
  <c r="X3" i="2"/>
  <c r="Y41" i="2" s="1"/>
  <c r="X42" i="2" s="1"/>
  <c r="W42" i="2" s="1"/>
</calcChain>
</file>

<file path=xl/sharedStrings.xml><?xml version="1.0" encoding="utf-8"?>
<sst xmlns="http://schemas.openxmlformats.org/spreadsheetml/2006/main" count="557" uniqueCount="220">
  <si>
    <t>Emisor</t>
  </si>
  <si>
    <t>TNA</t>
  </si>
  <si>
    <t>Cantidad</t>
  </si>
  <si>
    <t>Valor por Corte</t>
  </si>
  <si>
    <t>Valor Nominal</t>
  </si>
  <si>
    <t>Asset</t>
  </si>
  <si>
    <t>Vencimiento</t>
  </si>
  <si>
    <t>Riesgo</t>
  </si>
  <si>
    <t>ISIN</t>
  </si>
  <si>
    <t>Solar Banco SAE</t>
  </si>
  <si>
    <t>Banco Atlas SA</t>
  </si>
  <si>
    <t>Vilux SA</t>
  </si>
  <si>
    <t>Telecel SAE</t>
  </si>
  <si>
    <t>PYVLX06F7598</t>
  </si>
  <si>
    <t>PYTEL05F9246</t>
  </si>
  <si>
    <t>PYATS03F0038</t>
  </si>
  <si>
    <t>PYTEL03F2276</t>
  </si>
  <si>
    <t>Apy</t>
  </si>
  <si>
    <t>A-py</t>
  </si>
  <si>
    <t>AApy</t>
  </si>
  <si>
    <t>AAApy</t>
  </si>
  <si>
    <t>CDA</t>
  </si>
  <si>
    <t>Bonos Corporativo</t>
  </si>
  <si>
    <t>Bonos Financieros</t>
  </si>
  <si>
    <t>Precio de Compra</t>
  </si>
  <si>
    <t>PYSAF01F0499</t>
  </si>
  <si>
    <t>Periodicidad</t>
  </si>
  <si>
    <t>Trimestral</t>
  </si>
  <si>
    <t>Mensual</t>
  </si>
  <si>
    <t>Fecha de Compra en Cartera</t>
  </si>
  <si>
    <t>Duracion en Cartera (Días)</t>
  </si>
  <si>
    <t>PYTEL07F1159</t>
  </si>
  <si>
    <t>PYFIC02F1520</t>
  </si>
  <si>
    <t>Sudameris Bank SAECA</t>
  </si>
  <si>
    <t>PYSUD04F1468</t>
  </si>
  <si>
    <t>AA+py</t>
  </si>
  <si>
    <t>A Confirmar</t>
  </si>
  <si>
    <t>Financiera Fic SAECA</t>
  </si>
  <si>
    <t>Reportado</t>
  </si>
  <si>
    <t>Book Trading</t>
  </si>
  <si>
    <t>PYFIC03F1701</t>
  </si>
  <si>
    <t>Cartera Repo</t>
  </si>
  <si>
    <t>Nominal</t>
  </si>
  <si>
    <t>Total Book Trading</t>
  </si>
  <si>
    <t>Reportador</t>
  </si>
  <si>
    <t>Banco Continental SAECA</t>
  </si>
  <si>
    <t>PYCON01F1002</t>
  </si>
  <si>
    <t>Bonos Subordinados</t>
  </si>
  <si>
    <t>Semestral</t>
  </si>
  <si>
    <t>Banco Itaú Paraguay SA</t>
  </si>
  <si>
    <t>PYTAU12F1841</t>
  </si>
  <si>
    <t>Banco Familiar SAECA</t>
  </si>
  <si>
    <t>PYFAM07F1851</t>
  </si>
  <si>
    <t>Tu Financiera SAECA</t>
  </si>
  <si>
    <t>AC 1678</t>
  </si>
  <si>
    <t>TNA Remarcada</t>
  </si>
  <si>
    <t>SUDAMERIS BANK SAECA</t>
  </si>
  <si>
    <t>AA+</t>
  </si>
  <si>
    <t>TELEFONICA CELULAR DEL PARAGUAY S.A.E. (TELECEL SAE)</t>
  </si>
  <si>
    <t>PYTEL01F2070</t>
  </si>
  <si>
    <t>SI</t>
  </si>
  <si>
    <t>AAA</t>
  </si>
  <si>
    <t>A-</t>
  </si>
  <si>
    <t>AA</t>
  </si>
  <si>
    <t>PYSUD02F0108</t>
  </si>
  <si>
    <t>TU FINANCIERA SAECA</t>
  </si>
  <si>
    <t>AD 1930</t>
  </si>
  <si>
    <t>AD 1931</t>
  </si>
  <si>
    <t>AD 1932</t>
  </si>
  <si>
    <t>AD 1933</t>
  </si>
  <si>
    <t>AD 1934</t>
  </si>
  <si>
    <t>AD 1935</t>
  </si>
  <si>
    <t>AD 1936</t>
  </si>
  <si>
    <t>AD 1937</t>
  </si>
  <si>
    <t>PESO DE CADA INVERSIÓN / TOTAL</t>
  </si>
  <si>
    <t>CUANTO SUMA CADA INVERSIÓN A LA RENTABILIDAD</t>
  </si>
  <si>
    <t>PYTEL01F2724</t>
  </si>
  <si>
    <t>A</t>
  </si>
  <si>
    <t>Observaciones</t>
  </si>
  <si>
    <t>Valor Moneda Local</t>
  </si>
  <si>
    <t>AA 4084</t>
  </si>
  <si>
    <t>Al vencimiento</t>
  </si>
  <si>
    <t>Cartera para Revender- Solar Banco</t>
  </si>
  <si>
    <t>NUCLEO SA BONO - CORPORATIVO</t>
  </si>
  <si>
    <t>Intrumento</t>
  </si>
  <si>
    <t>PYNUC01F0006</t>
  </si>
  <si>
    <t xml:space="preserve">FINANCIERA FIC SAECA-BONO - SUBORDINADO </t>
  </si>
  <si>
    <t>PYFIC02F0001</t>
  </si>
  <si>
    <t xml:space="preserve">TELECEL SAE- BONO - CORPORATIVO </t>
  </si>
  <si>
    <t>9.40%</t>
  </si>
  <si>
    <t>TNA Compra</t>
  </si>
  <si>
    <t>AD 2239</t>
  </si>
  <si>
    <t>ESTADO</t>
  </si>
  <si>
    <t>MONEDA</t>
  </si>
  <si>
    <t>TIPO</t>
  </si>
  <si>
    <t>NUMERO</t>
  </si>
  <si>
    <t>ENTIDAD</t>
  </si>
  <si>
    <t>REFERENCIA</t>
  </si>
  <si>
    <t xml:space="preserve">CARTERA   </t>
  </si>
  <si>
    <t>INICIO</t>
  </si>
  <si>
    <t>TASA</t>
  </si>
  <si>
    <t>TASA DE RENDIMIENTO REAL</t>
  </si>
  <si>
    <t>VENCE</t>
  </si>
  <si>
    <t>DIAS</t>
  </si>
  <si>
    <t>MONTO</t>
  </si>
  <si>
    <t>VALOR_ACTUAL</t>
  </si>
  <si>
    <t>DIAS_RES</t>
  </si>
  <si>
    <t>CUPONES</t>
  </si>
  <si>
    <t>VIGENTE</t>
  </si>
  <si>
    <t>GUARANIES</t>
  </si>
  <si>
    <t>BONO PRIVADO</t>
  </si>
  <si>
    <t>7702</t>
  </si>
  <si>
    <t>cartera propia</t>
  </si>
  <si>
    <t>29/07/2025</t>
  </si>
  <si>
    <t>9.95</t>
  </si>
  <si>
    <t>25/07/2028</t>
  </si>
  <si>
    <t>1092</t>
  </si>
  <si>
    <t>755</t>
  </si>
  <si>
    <t>12</t>
  </si>
  <si>
    <t>7722</t>
  </si>
  <si>
    <t>FINANCIERA FIC S.A.E.C.A</t>
  </si>
  <si>
    <t>COMPRA</t>
  </si>
  <si>
    <t>29/09/2025</t>
  </si>
  <si>
    <t>10.5</t>
  </si>
  <si>
    <t>01/02/2027</t>
  </si>
  <si>
    <t>490</t>
  </si>
  <si>
    <t>215</t>
  </si>
  <si>
    <t>16</t>
  </si>
  <si>
    <t>7724</t>
  </si>
  <si>
    <t>02/03/2027</t>
  </si>
  <si>
    <t>519</t>
  </si>
  <si>
    <t>244</t>
  </si>
  <si>
    <t>17</t>
  </si>
  <si>
    <t>7726</t>
  </si>
  <si>
    <t>BANCO ATLAS S.A.</t>
  </si>
  <si>
    <t>08/09/2025</t>
  </si>
  <si>
    <t>8</t>
  </si>
  <si>
    <t>06/03/2028</t>
  </si>
  <si>
    <t>910</t>
  </si>
  <si>
    <t>614</t>
  </si>
  <si>
    <t>10</t>
  </si>
  <si>
    <t>7732</t>
  </si>
  <si>
    <t>TELEFONICA CELULAR DEL PARAGUAY SAE</t>
  </si>
  <si>
    <t>30/09/2025</t>
  </si>
  <si>
    <t>7.5</t>
  </si>
  <si>
    <t>30/09/2031</t>
  </si>
  <si>
    <t>2191</t>
  </si>
  <si>
    <t>1917</t>
  </si>
  <si>
    <t>72</t>
  </si>
  <si>
    <t>7734</t>
  </si>
  <si>
    <t>VILUX SOCIEDAD ANONIMA</t>
  </si>
  <si>
    <t>13/10/2025</t>
  </si>
  <si>
    <t>9.25</t>
  </si>
  <si>
    <t>10/04/2029</t>
  </si>
  <si>
    <t>1275</t>
  </si>
  <si>
    <t>1014</t>
  </si>
  <si>
    <t>42</t>
  </si>
  <si>
    <t>FECHA DE COMPRA</t>
  </si>
  <si>
    <t>DIAS EN CARTERA</t>
  </si>
  <si>
    <t>DEVENGADO A LA FECHA</t>
  </si>
  <si>
    <t>PETROMAX</t>
  </si>
  <si>
    <t>PYIPD01F0009</t>
  </si>
  <si>
    <t>BANCO ITAU</t>
  </si>
  <si>
    <t>BANCO SUDAMERIS</t>
  </si>
  <si>
    <t>,</t>
  </si>
  <si>
    <t>UENO BANK</t>
  </si>
  <si>
    <t>UU 1659</t>
  </si>
  <si>
    <t>ELECTROBAN</t>
  </si>
  <si>
    <t>PYELE03F7454</t>
  </si>
  <si>
    <t>BBB</t>
  </si>
  <si>
    <t>GS.</t>
  </si>
  <si>
    <t xml:space="preserve">SOLAR BANCO </t>
  </si>
  <si>
    <t>NUCLEO</t>
  </si>
  <si>
    <t>SOLAR BANCO</t>
  </si>
  <si>
    <t>PLAZOS DIAS</t>
  </si>
  <si>
    <t>PYELE01F9486</t>
  </si>
  <si>
    <t>PYSUD06F0005</t>
  </si>
  <si>
    <t>FIC SAECA</t>
  </si>
  <si>
    <t>BE 9641</t>
  </si>
  <si>
    <t>Gs.</t>
  </si>
  <si>
    <t>CARTERA EN REPO</t>
  </si>
  <si>
    <t>SALDO</t>
  </si>
  <si>
    <t>ITAU BANCO</t>
  </si>
  <si>
    <t>Monto de Rentabilidad  Mensual</t>
  </si>
  <si>
    <t>PYNUC05F1356</t>
  </si>
  <si>
    <t>MM 5180</t>
  </si>
  <si>
    <t>BONOS CORPORATIVOS</t>
  </si>
  <si>
    <t>BONOS FINANCIEROS</t>
  </si>
  <si>
    <t>Etiquetas de fila</t>
  </si>
  <si>
    <t>Total general</t>
  </si>
  <si>
    <t>Cuenta de Valor Moneda Local</t>
  </si>
  <si>
    <t>USD.</t>
  </si>
  <si>
    <t xml:space="preserve">estimación de los </t>
  </si>
  <si>
    <t>integraciòn de core</t>
  </si>
  <si>
    <t>tecnicamente ya se le paso a softshop.</t>
  </si>
  <si>
    <t>La bolsa paso y Hector le paso a soft. Shop.</t>
  </si>
  <si>
    <t>JORGE CASENAVE</t>
  </si>
  <si>
    <t xml:space="preserve">AVALON </t>
  </si>
  <si>
    <t>CADIEN</t>
  </si>
  <si>
    <t>INVESTRO</t>
  </si>
  <si>
    <t>PUENTE</t>
  </si>
  <si>
    <r>
      <rPr>
        <sz val="11"/>
        <color rgb="FFFF0000"/>
        <rFont val="Calibri"/>
        <family val="2"/>
        <scheme val="minor"/>
      </rPr>
      <t>Reporte de operaciones (compras y ventas en sistema).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Detalle de cobros de intereses por instrumento.</t>
    </r>
    <r>
      <rPr>
        <sz val="11"/>
        <color rgb="FFFF0000"/>
        <rFont val="Calibri"/>
        <family val="2"/>
        <scheme val="minor"/>
      </rPr>
      <t xml:space="preserve">
Fondo fijo.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Instrumentos financieros.</t>
    </r>
    <r>
      <rPr>
        <sz val="11"/>
        <color theme="1"/>
        <rFont val="Calibri"/>
        <family val="2"/>
        <scheme val="minor"/>
      </rPr>
      <t xml:space="preserve">
</t>
    </r>
  </si>
  <si>
    <t>Suma de Valor Nominal</t>
  </si>
  <si>
    <t>PYSUD06F6721</t>
  </si>
  <si>
    <t>BA 3772</t>
  </si>
  <si>
    <t>AL 1475</t>
  </si>
  <si>
    <t>plazos</t>
  </si>
  <si>
    <t>AC 2802</t>
  </si>
  <si>
    <t>FINANCIERA PARAGUAYO JAPONESA</t>
  </si>
  <si>
    <t>AB 8835</t>
  </si>
  <si>
    <t>AB 8836</t>
  </si>
  <si>
    <t>AB 8834</t>
  </si>
  <si>
    <t xml:space="preserve"> </t>
  </si>
  <si>
    <t xml:space="preserve">SOBREGIRO </t>
  </si>
  <si>
    <t xml:space="preserve">  </t>
  </si>
  <si>
    <t>BA 0040</t>
  </si>
  <si>
    <t>BA 3404</t>
  </si>
  <si>
    <t>BA 3645</t>
  </si>
  <si>
    <t>BA 3646</t>
  </si>
  <si>
    <t>EMISOR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</si>
</sst>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\ _€_-;\-* #,##0.00\ _€_-;_-* &quot;-&quot;??\ _€_-;_-@_-"/>
    <numFmt numFmtId="164" formatCode="_ * #,##0_ ;_ * \-#,##0_ ;_ * &quot;-&quot;_ ;_ @_ "/>
    <numFmt numFmtId="165" formatCode="_ * #,##0.00_ ;_ * \-#,##0.00_ ;_ * &quot;-&quot;??_ ;_ @_ "/>
    <numFmt numFmtId="166" formatCode="0.0000%"/>
    <numFmt numFmtId="167" formatCode="[$PYG]\ #,##0;[$PYG]\ \-#,##0"/>
    <numFmt numFmtId="168" formatCode="_ [$PYG]\ * #,##0_ ;_ [$PYG]\ * \-#,##0_ ;_ [$PYG]\ * &quot;-&quot;_ ;_ @_ "/>
    <numFmt numFmtId="169" formatCode="0.000%"/>
    <numFmt numFmtId="170" formatCode="0.00000000%"/>
    <numFmt numFmtId="171" formatCode="###,###,###,###,##0.00"/>
    <numFmt numFmtId="172" formatCode="_ * #,##0.0000_ ;_ * \-#,##0.0000_ ;_ * &quot;-&quot;_ ;_ @_ "/>
    <numFmt numFmtId="173" formatCode="_ * #,##0.00_ ;_ * \-#,##0.00_ ;_ * &quot;-&quot;_ ;_ @_ "/>
    <numFmt numFmtId="174" formatCode="#,##0.00\ [$USD]"/>
    <numFmt numFmtId="175" formatCode="#,##0\ [$USD];\-#,##0\ [$USD]"/>
    <numFmt numFmtId="176" formatCode="_-* #,##0\ _€_-;\-* #,##0\ _€_-;_-* &quot;-&quot;??\ _€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Apto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2" applyNumberFormat="0" applyFill="0" applyAlignment="0" applyProtection="0"/>
    <xf numFmtId="0" fontId="7" fillId="5" borderId="3" applyNumberFormat="0" applyAlignment="0" applyProtection="0"/>
    <xf numFmtId="0" fontId="11" fillId="5" borderId="7" applyNumberFormat="0" applyAlignment="0" applyProtection="0"/>
    <xf numFmtId="43" fontId="1" fillId="0" borderId="0" applyFont="0" applyFill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14" fontId="2" fillId="0" borderId="0" xfId="0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4" fontId="2" fillId="0" borderId="0" xfId="0" applyNumberFormat="1" applyFont="1"/>
    <xf numFmtId="0" fontId="3" fillId="4" borderId="1" xfId="0" applyFont="1" applyFill="1" applyBorder="1" applyAlignment="1">
      <alignment horizontal="center"/>
    </xf>
    <xf numFmtId="164" fontId="3" fillId="4" borderId="1" xfId="1" applyFont="1" applyFill="1" applyBorder="1" applyAlignment="1">
      <alignment horizontal="center"/>
    </xf>
    <xf numFmtId="166" fontId="3" fillId="3" borderId="1" xfId="2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6" fontId="5" fillId="2" borderId="1" xfId="2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5" fillId="2" borderId="1" xfId="1" applyFont="1" applyFill="1" applyBorder="1" applyAlignment="1">
      <alignment horizontal="right" vertical="center"/>
    </xf>
    <xf numFmtId="164" fontId="4" fillId="0" borderId="4" xfId="1" applyFont="1" applyBorder="1" applyAlignment="1">
      <alignment horizontal="center"/>
    </xf>
    <xf numFmtId="164" fontId="9" fillId="0" borderId="4" xfId="1" applyFont="1" applyBorder="1" applyAlignment="1">
      <alignment horizontal="center"/>
    </xf>
    <xf numFmtId="167" fontId="10" fillId="5" borderId="3" xfId="4" applyNumberFormat="1" applyFont="1" applyAlignment="1">
      <alignment horizontal="center"/>
    </xf>
    <xf numFmtId="10" fontId="8" fillId="6" borderId="3" xfId="4" applyNumberFormat="1" applyFont="1" applyFill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164" fontId="7" fillId="5" borderId="3" xfId="4" applyNumberFormat="1" applyAlignment="1">
      <alignment horizontal="center"/>
    </xf>
    <xf numFmtId="168" fontId="7" fillId="5" borderId="3" xfId="4" applyNumberFormat="1" applyAlignment="1">
      <alignment horizontal="center"/>
    </xf>
    <xf numFmtId="0" fontId="11" fillId="5" borderId="7" xfId="5"/>
    <xf numFmtId="0" fontId="11" fillId="5" borderId="7" xfId="5" applyAlignment="1">
      <alignment horizontal="center"/>
    </xf>
    <xf numFmtId="10" fontId="11" fillId="5" borderId="7" xfId="5" applyNumberFormat="1" applyAlignment="1">
      <alignment horizontal="center"/>
    </xf>
    <xf numFmtId="164" fontId="11" fillId="5" borderId="7" xfId="5" applyNumberFormat="1" applyAlignment="1">
      <alignment horizontal="center"/>
    </xf>
    <xf numFmtId="166" fontId="11" fillId="5" borderId="7" xfId="5" applyNumberFormat="1" applyAlignment="1">
      <alignment horizontal="center"/>
    </xf>
    <xf numFmtId="164" fontId="11" fillId="5" borderId="7" xfId="5" applyNumberFormat="1" applyAlignment="1">
      <alignment horizontal="right" vertical="center"/>
    </xf>
    <xf numFmtId="14" fontId="11" fillId="5" borderId="7" xfId="5" applyNumberFormat="1" applyAlignment="1">
      <alignment horizontal="center"/>
    </xf>
    <xf numFmtId="14" fontId="11" fillId="5" borderId="7" xfId="5" applyNumberFormat="1"/>
    <xf numFmtId="164" fontId="2" fillId="0" borderId="0" xfId="1" applyFont="1" applyAlignment="1">
      <alignment horizontal="center" wrapText="1"/>
    </xf>
    <xf numFmtId="168" fontId="0" fillId="5" borderId="3" xfId="4" applyNumberFormat="1" applyFont="1" applyAlignment="1">
      <alignment horizontal="center"/>
    </xf>
    <xf numFmtId="170" fontId="2" fillId="0" borderId="0" xfId="2" applyNumberFormat="1" applyFont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10" fontId="2" fillId="0" borderId="0" xfId="2" applyNumberFormat="1" applyFont="1" applyAlignment="1">
      <alignment horizontal="center"/>
    </xf>
    <xf numFmtId="0" fontId="2" fillId="0" borderId="0" xfId="0" applyFont="1" applyAlignment="1">
      <alignment wrapText="1"/>
    </xf>
    <xf numFmtId="0" fontId="0" fillId="0" borderId="1" xfId="0" applyBorder="1"/>
    <xf numFmtId="43" fontId="0" fillId="0" borderId="0" xfId="6" applyFont="1" applyAlignment="1">
      <alignment vertical="center"/>
    </xf>
    <xf numFmtId="14" fontId="0" fillId="0" borderId="0" xfId="2" applyNumberFormat="1" applyFont="1" applyAlignment="1">
      <alignment horizontal="center"/>
    </xf>
    <xf numFmtId="0" fontId="19" fillId="10" borderId="18" xfId="0" applyFont="1" applyFill="1" applyBorder="1" applyAlignment="1">
      <alignment horizontal="left"/>
    </xf>
    <xf numFmtId="0" fontId="19" fillId="10" borderId="19" xfId="0" applyFont="1" applyFill="1" applyBorder="1" applyAlignment="1">
      <alignment horizontal="left"/>
    </xf>
    <xf numFmtId="0" fontId="19" fillId="10" borderId="19" xfId="0" applyFont="1" applyFill="1" applyBorder="1" applyAlignment="1">
      <alignment horizontal="right"/>
    </xf>
    <xf numFmtId="0" fontId="19" fillId="10" borderId="17" xfId="0" applyFont="1" applyFill="1" applyBorder="1" applyAlignment="1">
      <alignment horizontal="right"/>
    </xf>
    <xf numFmtId="0" fontId="20" fillId="9" borderId="18" xfId="0" applyFont="1" applyFill="1" applyBorder="1"/>
    <xf numFmtId="0" fontId="20" fillId="9" borderId="19" xfId="0" applyFont="1" applyFill="1" applyBorder="1"/>
    <xf numFmtId="0" fontId="20" fillId="9" borderId="19" xfId="0" applyFont="1" applyFill="1" applyBorder="1" applyAlignment="1">
      <alignment horizontal="right"/>
    </xf>
    <xf numFmtId="171" fontId="20" fillId="9" borderId="19" xfId="0" applyNumberFormat="1" applyFont="1" applyFill="1" applyBorder="1" applyAlignment="1">
      <alignment horizontal="right"/>
    </xf>
    <xf numFmtId="0" fontId="20" fillId="9" borderId="17" xfId="0" applyFont="1" applyFill="1" applyBorder="1" applyAlignment="1">
      <alignment horizontal="right"/>
    </xf>
    <xf numFmtId="0" fontId="20" fillId="0" borderId="18" xfId="0" applyFont="1" applyBorder="1"/>
    <xf numFmtId="0" fontId="20" fillId="0" borderId="19" xfId="0" applyFont="1" applyBorder="1"/>
    <xf numFmtId="0" fontId="20" fillId="0" borderId="19" xfId="0" applyFont="1" applyBorder="1" applyAlignment="1">
      <alignment horizontal="right"/>
    </xf>
    <xf numFmtId="171" fontId="20" fillId="0" borderId="19" xfId="0" applyNumberFormat="1" applyFont="1" applyBorder="1" applyAlignment="1">
      <alignment horizontal="right"/>
    </xf>
    <xf numFmtId="0" fontId="20" fillId="0" borderId="17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1" fontId="4" fillId="0" borderId="10" xfId="0" applyNumberFormat="1" applyFont="1" applyBorder="1"/>
    <xf numFmtId="164" fontId="4" fillId="0" borderId="10" xfId="1" applyFont="1" applyBorder="1"/>
    <xf numFmtId="164" fontId="4" fillId="0" borderId="8" xfId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5" fillId="2" borderId="8" xfId="1" applyFont="1" applyFill="1" applyBorder="1" applyAlignment="1">
      <alignment horizontal="right" vertical="center"/>
    </xf>
    <xf numFmtId="14" fontId="4" fillId="0" borderId="8" xfId="0" applyNumberFormat="1" applyFont="1" applyBorder="1" applyAlignment="1">
      <alignment horizontal="center"/>
    </xf>
    <xf numFmtId="10" fontId="4" fillId="2" borderId="8" xfId="6" applyNumberFormat="1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3" fillId="4" borderId="9" xfId="0" applyFont="1" applyFill="1" applyBorder="1" applyAlignment="1">
      <alignment horizontal="center" wrapText="1"/>
    </xf>
    <xf numFmtId="10" fontId="8" fillId="6" borderId="3" xfId="4" applyNumberFormat="1" applyFont="1" applyFill="1" applyAlignment="1">
      <alignment horizontal="center" wrapText="1"/>
    </xf>
    <xf numFmtId="164" fontId="3" fillId="4" borderId="1" xfId="1" applyFont="1" applyFill="1" applyBorder="1" applyAlignment="1">
      <alignment horizontal="center" wrapText="1"/>
    </xf>
    <xf numFmtId="166" fontId="3" fillId="3" borderId="1" xfId="2" applyNumberFormat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43" fontId="2" fillId="0" borderId="0" xfId="6" applyFont="1" applyAlignment="1">
      <alignment horizontal="left"/>
    </xf>
    <xf numFmtId="43" fontId="2" fillId="0" borderId="0" xfId="6" applyFont="1"/>
    <xf numFmtId="43" fontId="2" fillId="0" borderId="0" xfId="0" applyNumberFormat="1" applyFont="1"/>
    <xf numFmtId="14" fontId="4" fillId="0" borderId="11" xfId="0" applyNumberFormat="1" applyFont="1" applyBorder="1" applyAlignment="1">
      <alignment horizontal="center"/>
    </xf>
    <xf numFmtId="169" fontId="4" fillId="0" borderId="1" xfId="2" applyNumberFormat="1" applyFont="1" applyBorder="1"/>
    <xf numFmtId="0" fontId="4" fillId="0" borderId="1" xfId="7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1" fontId="4" fillId="0" borderId="8" xfId="0" applyNumberFormat="1" applyFont="1" applyBorder="1" applyAlignment="1">
      <alignment horizontal="center"/>
    </xf>
    <xf numFmtId="172" fontId="2" fillId="0" borderId="0" xfId="1" applyNumberFormat="1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14" fontId="4" fillId="0" borderId="10" xfId="0" applyNumberFormat="1" applyFont="1" applyFill="1" applyBorder="1" applyAlignment="1">
      <alignment horizontal="center"/>
    </xf>
    <xf numFmtId="1" fontId="4" fillId="0" borderId="10" xfId="0" applyNumberFormat="1" applyFont="1" applyFill="1" applyBorder="1"/>
    <xf numFmtId="164" fontId="4" fillId="0" borderId="10" xfId="1" applyFont="1" applyFill="1" applyBorder="1"/>
    <xf numFmtId="0" fontId="4" fillId="0" borderId="8" xfId="0" applyFont="1" applyFill="1" applyBorder="1" applyAlignment="1">
      <alignment horizontal="center"/>
    </xf>
    <xf numFmtId="1" fontId="4" fillId="0" borderId="8" xfId="0" applyNumberFormat="1" applyFont="1" applyFill="1" applyBorder="1" applyAlignment="1">
      <alignment horizontal="center"/>
    </xf>
    <xf numFmtId="9" fontId="4" fillId="0" borderId="8" xfId="6" applyNumberFormat="1" applyFont="1" applyFill="1" applyBorder="1" applyAlignment="1">
      <alignment horizontal="center"/>
    </xf>
    <xf numFmtId="10" fontId="4" fillId="0" borderId="8" xfId="6" applyNumberFormat="1" applyFont="1" applyFill="1" applyBorder="1" applyAlignment="1">
      <alignment horizontal="center"/>
    </xf>
    <xf numFmtId="164" fontId="4" fillId="0" borderId="8" xfId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43" fontId="4" fillId="0" borderId="8" xfId="6" applyFont="1" applyFill="1" applyBorder="1" applyAlignment="1">
      <alignment horizontal="center"/>
    </xf>
    <xf numFmtId="164" fontId="4" fillId="0" borderId="8" xfId="1" applyFont="1" applyFill="1" applyBorder="1" applyAlignment="1">
      <alignment horizontal="right" vertical="center"/>
    </xf>
    <xf numFmtId="14" fontId="4" fillId="0" borderId="8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69" fontId="4" fillId="0" borderId="1" xfId="2" applyNumberFormat="1" applyFont="1" applyFill="1" applyBorder="1"/>
    <xf numFmtId="0" fontId="2" fillId="0" borderId="0" xfId="0" applyFont="1" applyFill="1" applyAlignment="1">
      <alignment wrapText="1"/>
    </xf>
    <xf numFmtId="0" fontId="2" fillId="0" borderId="0" xfId="0" applyFont="1" applyFill="1"/>
    <xf numFmtId="43" fontId="5" fillId="0" borderId="8" xfId="6" applyFont="1" applyFill="1" applyBorder="1" applyAlignment="1">
      <alignment horizontal="center"/>
    </xf>
    <xf numFmtId="164" fontId="5" fillId="0" borderId="8" xfId="1" applyFont="1" applyFill="1" applyBorder="1" applyAlignment="1">
      <alignment horizontal="right" vertical="center"/>
    </xf>
    <xf numFmtId="14" fontId="4" fillId="0" borderId="11" xfId="0" applyNumberFormat="1" applyFont="1" applyFill="1" applyBorder="1" applyAlignment="1">
      <alignment horizontal="center"/>
    </xf>
    <xf numFmtId="10" fontId="4" fillId="0" borderId="8" xfId="0" applyNumberFormat="1" applyFont="1" applyFill="1" applyBorder="1" applyAlignment="1">
      <alignment horizontal="center"/>
    </xf>
    <xf numFmtId="14" fontId="4" fillId="0" borderId="9" xfId="0" applyNumberFormat="1" applyFont="1" applyFill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0" fontId="4" fillId="11" borderId="1" xfId="7" applyNumberFormat="1" applyFont="1" applyFill="1" applyBorder="1" applyAlignment="1">
      <alignment horizontal="center"/>
    </xf>
    <xf numFmtId="0" fontId="22" fillId="11" borderId="0" xfId="0" applyFont="1" applyFill="1"/>
    <xf numFmtId="164" fontId="22" fillId="11" borderId="0" xfId="1" applyFont="1" applyFill="1" applyAlignment="1">
      <alignment horizontal="center"/>
    </xf>
    <xf numFmtId="0" fontId="2" fillId="11" borderId="0" xfId="0" applyFont="1" applyFill="1"/>
    <xf numFmtId="0" fontId="2" fillId="11" borderId="0" xfId="0" applyFont="1" applyFill="1" applyAlignment="1">
      <alignment horizontal="center" wrapText="1"/>
    </xf>
    <xf numFmtId="164" fontId="2" fillId="11" borderId="0" xfId="1" applyFont="1" applyFill="1" applyAlignment="1">
      <alignment horizontal="center"/>
    </xf>
    <xf numFmtId="0" fontId="4" fillId="0" borderId="10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Fill="1" applyBorder="1" applyAlignment="1">
      <alignment wrapText="1"/>
    </xf>
    <xf numFmtId="0" fontId="4" fillId="0" borderId="10" xfId="0" applyFont="1" applyFill="1" applyBorder="1" applyAlignment="1"/>
    <xf numFmtId="14" fontId="4" fillId="12" borderId="10" xfId="7" applyNumberFormat="1" applyFont="1" applyFill="1" applyBorder="1" applyAlignment="1">
      <alignment horizontal="center"/>
    </xf>
    <xf numFmtId="1" fontId="4" fillId="12" borderId="10" xfId="7" applyNumberFormat="1" applyFont="1" applyFill="1" applyBorder="1"/>
    <xf numFmtId="164" fontId="4" fillId="12" borderId="10" xfId="1" applyFont="1" applyFill="1" applyBorder="1"/>
    <xf numFmtId="0" fontId="4" fillId="12" borderId="8" xfId="7" applyFont="1" applyFill="1" applyBorder="1" applyAlignment="1">
      <alignment horizontal="center"/>
    </xf>
    <xf numFmtId="1" fontId="4" fillId="12" borderId="8" xfId="7" applyNumberFormat="1" applyFont="1" applyFill="1" applyBorder="1" applyAlignment="1">
      <alignment horizontal="center"/>
    </xf>
    <xf numFmtId="10" fontId="4" fillId="12" borderId="8" xfId="7" applyNumberFormat="1" applyFont="1" applyFill="1" applyBorder="1" applyAlignment="1">
      <alignment horizontal="center"/>
    </xf>
    <xf numFmtId="164" fontId="4" fillId="12" borderId="8" xfId="7" applyNumberFormat="1" applyFont="1" applyFill="1" applyBorder="1" applyAlignment="1">
      <alignment horizontal="center"/>
    </xf>
    <xf numFmtId="0" fontId="4" fillId="12" borderId="1" xfId="7" applyFont="1" applyFill="1" applyBorder="1" applyAlignment="1">
      <alignment horizontal="center"/>
    </xf>
    <xf numFmtId="43" fontId="4" fillId="12" borderId="8" xfId="7" applyNumberFormat="1" applyFont="1" applyFill="1" applyBorder="1" applyAlignment="1">
      <alignment horizontal="center"/>
    </xf>
    <xf numFmtId="14" fontId="4" fillId="12" borderId="8" xfId="7" applyNumberFormat="1" applyFont="1" applyFill="1" applyBorder="1" applyAlignment="1">
      <alignment horizontal="center"/>
    </xf>
    <xf numFmtId="10" fontId="4" fillId="12" borderId="1" xfId="7" applyNumberFormat="1" applyFont="1" applyFill="1" applyBorder="1" applyAlignment="1">
      <alignment horizontal="center"/>
    </xf>
    <xf numFmtId="0" fontId="4" fillId="12" borderId="10" xfId="7" applyFont="1" applyFill="1" applyBorder="1" applyAlignment="1"/>
    <xf numFmtId="14" fontId="4" fillId="12" borderId="11" xfId="7" applyNumberFormat="1" applyFont="1" applyFill="1" applyBorder="1" applyAlignment="1">
      <alignment horizontal="center"/>
    </xf>
    <xf numFmtId="0" fontId="4" fillId="12" borderId="10" xfId="0" applyFont="1" applyFill="1" applyBorder="1" applyAlignment="1">
      <alignment wrapText="1"/>
    </xf>
    <xf numFmtId="14" fontId="4" fillId="12" borderId="10" xfId="0" applyNumberFormat="1" applyFont="1" applyFill="1" applyBorder="1" applyAlignment="1">
      <alignment horizontal="center"/>
    </xf>
    <xf numFmtId="1" fontId="4" fillId="12" borderId="10" xfId="0" applyNumberFormat="1" applyFont="1" applyFill="1" applyBorder="1"/>
    <xf numFmtId="0" fontId="4" fillId="12" borderId="8" xfId="0" applyFont="1" applyFill="1" applyBorder="1" applyAlignment="1">
      <alignment horizontal="center"/>
    </xf>
    <xf numFmtId="1" fontId="4" fillId="12" borderId="8" xfId="0" applyNumberFormat="1" applyFont="1" applyFill="1" applyBorder="1" applyAlignment="1">
      <alignment horizontal="center"/>
    </xf>
    <xf numFmtId="164" fontId="4" fillId="12" borderId="8" xfId="1" applyFont="1" applyFill="1" applyBorder="1" applyAlignment="1">
      <alignment horizontal="center"/>
    </xf>
    <xf numFmtId="164" fontId="4" fillId="12" borderId="8" xfId="0" applyNumberFormat="1" applyFont="1" applyFill="1" applyBorder="1" applyAlignment="1">
      <alignment horizontal="center"/>
    </xf>
    <xf numFmtId="43" fontId="5" fillId="12" borderId="8" xfId="6" applyFont="1" applyFill="1" applyBorder="1" applyAlignment="1">
      <alignment horizontal="center"/>
    </xf>
    <xf numFmtId="14" fontId="4" fillId="12" borderId="8" xfId="0" applyNumberFormat="1" applyFont="1" applyFill="1" applyBorder="1" applyAlignment="1">
      <alignment horizontal="center"/>
    </xf>
    <xf numFmtId="14" fontId="4" fillId="12" borderId="11" xfId="0" applyNumberFormat="1" applyFont="1" applyFill="1" applyBorder="1" applyAlignment="1">
      <alignment horizontal="center"/>
    </xf>
    <xf numFmtId="169" fontId="4" fillId="12" borderId="1" xfId="2" applyNumberFormat="1" applyFont="1" applyFill="1" applyBorder="1"/>
    <xf numFmtId="0" fontId="4" fillId="0" borderId="8" xfId="7" applyFont="1" applyFill="1" applyBorder="1" applyAlignment="1">
      <alignment horizontal="center"/>
    </xf>
    <xf numFmtId="10" fontId="4" fillId="11" borderId="8" xfId="7" applyNumberFormat="1" applyFont="1" applyFill="1" applyBorder="1" applyAlignment="1">
      <alignment horizontal="center"/>
    </xf>
    <xf numFmtId="169" fontId="4" fillId="0" borderId="8" xfId="2" applyNumberFormat="1" applyFont="1" applyFill="1" applyBorder="1"/>
    <xf numFmtId="164" fontId="2" fillId="0" borderId="0" xfId="0" applyNumberFormat="1" applyFont="1" applyAlignment="1">
      <alignment horizontal="center"/>
    </xf>
    <xf numFmtId="1" fontId="4" fillId="0" borderId="8" xfId="1" applyNumberFormat="1" applyFont="1" applyFill="1" applyBorder="1" applyAlignment="1">
      <alignment horizontal="center"/>
    </xf>
    <xf numFmtId="10" fontId="4" fillId="0" borderId="8" xfId="1" applyNumberFormat="1" applyFont="1" applyFill="1" applyBorder="1" applyAlignment="1">
      <alignment horizontal="center"/>
    </xf>
    <xf numFmtId="164" fontId="4" fillId="0" borderId="8" xfId="1" applyNumberFormat="1" applyFont="1" applyFill="1" applyBorder="1" applyAlignment="1">
      <alignment horizontal="center"/>
    </xf>
    <xf numFmtId="14" fontId="4" fillId="0" borderId="8" xfId="1" applyNumberFormat="1" applyFont="1" applyFill="1" applyBorder="1" applyAlignment="1">
      <alignment horizontal="center"/>
    </xf>
    <xf numFmtId="14" fontId="4" fillId="0" borderId="11" xfId="1" applyNumberFormat="1" applyFont="1" applyFill="1" applyBorder="1" applyAlignment="1">
      <alignment horizontal="center"/>
    </xf>
    <xf numFmtId="169" fontId="4" fillId="12" borderId="8" xfId="7" applyNumberFormat="1" applyFont="1" applyFill="1" applyBorder="1"/>
    <xf numFmtId="164" fontId="5" fillId="0" borderId="8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5" fillId="0" borderId="1" xfId="1" applyFont="1" applyFill="1" applyBorder="1" applyAlignment="1">
      <alignment horizontal="center"/>
    </xf>
    <xf numFmtId="0" fontId="26" fillId="0" borderId="0" xfId="0" applyFont="1" applyAlignment="1">
      <alignment vertical="center" wrapText="1"/>
    </xf>
    <xf numFmtId="164" fontId="24" fillId="0" borderId="0" xfId="1" applyFont="1" applyAlignment="1">
      <alignment horizontal="center" wrapText="1"/>
    </xf>
    <xf numFmtId="10" fontId="2" fillId="0" borderId="0" xfId="0" applyNumberFormat="1" applyFont="1" applyAlignment="1">
      <alignment horizontal="center" wrapText="1"/>
    </xf>
    <xf numFmtId="9" fontId="21" fillId="4" borderId="0" xfId="2" applyFont="1" applyFill="1" applyAlignment="1">
      <alignment horizontal="center"/>
    </xf>
    <xf numFmtId="164" fontId="21" fillId="4" borderId="0" xfId="8" applyNumberFormat="1" applyFont="1" applyFill="1" applyAlignment="1">
      <alignment horizontal="left"/>
    </xf>
    <xf numFmtId="10" fontId="27" fillId="0" borderId="0" xfId="2" applyNumberFormat="1" applyFont="1" applyAlignment="1">
      <alignment horizontal="center"/>
    </xf>
    <xf numFmtId="164" fontId="2" fillId="0" borderId="0" xfId="1" applyFont="1" applyFill="1" applyAlignment="1">
      <alignment horizontal="center"/>
    </xf>
    <xf numFmtId="10" fontId="4" fillId="0" borderId="1" xfId="7" applyNumberFormat="1" applyFont="1" applyFill="1" applyBorder="1" applyAlignment="1">
      <alignment horizontal="center"/>
    </xf>
    <xf numFmtId="164" fontId="22" fillId="0" borderId="0" xfId="1" applyFont="1" applyFill="1" applyAlignment="1">
      <alignment horizontal="center"/>
    </xf>
    <xf numFmtId="0" fontId="0" fillId="0" borderId="0" xfId="0" applyAlignment="1">
      <alignment wrapText="1"/>
    </xf>
    <xf numFmtId="0" fontId="12" fillId="4" borderId="24" xfId="0" applyFont="1" applyFill="1" applyBorder="1"/>
    <xf numFmtId="0" fontId="12" fillId="4" borderId="24" xfId="0" applyFont="1" applyFill="1" applyBorder="1" applyAlignment="1">
      <alignment horizontal="left"/>
    </xf>
    <xf numFmtId="164" fontId="0" fillId="0" borderId="25" xfId="0" applyNumberFormat="1" applyBorder="1"/>
    <xf numFmtId="164" fontId="12" fillId="4" borderId="26" xfId="0" applyNumberFormat="1" applyFont="1" applyFill="1" applyBorder="1"/>
    <xf numFmtId="164" fontId="4" fillId="0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6" fontId="0" fillId="0" borderId="0" xfId="2" applyNumberFormat="1" applyFont="1" applyFill="1" applyAlignment="1">
      <alignment horizontal="center"/>
    </xf>
    <xf numFmtId="0" fontId="12" fillId="4" borderId="1" xfId="0" applyFont="1" applyFill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12" fillId="4" borderId="1" xfId="0" applyFont="1" applyFill="1" applyBorder="1" applyAlignment="1">
      <alignment horizontal="left"/>
    </xf>
    <xf numFmtId="164" fontId="12" fillId="4" borderId="1" xfId="0" applyNumberFormat="1" applyFont="1" applyFill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14" fontId="0" fillId="0" borderId="0" xfId="2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22" fillId="0" borderId="0" xfId="0" applyFont="1" applyFill="1"/>
    <xf numFmtId="0" fontId="12" fillId="0" borderId="0" xfId="0" applyFont="1" applyFill="1" applyBorder="1" applyAlignment="1">
      <alignment horizontal="left"/>
    </xf>
    <xf numFmtId="0" fontId="12" fillId="0" borderId="0" xfId="0" applyNumberFormat="1" applyFont="1" applyFill="1" applyBorder="1"/>
    <xf numFmtId="164" fontId="23" fillId="0" borderId="22" xfId="1" applyFont="1" applyBorder="1" applyAlignment="1">
      <alignment horizontal="center" vertical="center"/>
    </xf>
    <xf numFmtId="164" fontId="23" fillId="0" borderId="27" xfId="1" applyFont="1" applyBorder="1" applyAlignment="1">
      <alignment horizontal="center" vertical="center"/>
    </xf>
    <xf numFmtId="164" fontId="23" fillId="0" borderId="23" xfId="1" applyFont="1" applyBorder="1" applyAlignment="1">
      <alignment horizontal="center" vertical="center"/>
    </xf>
    <xf numFmtId="167" fontId="10" fillId="5" borderId="30" xfId="4" applyNumberFormat="1" applyFont="1" applyBorder="1" applyAlignment="1">
      <alignment horizontal="center"/>
    </xf>
    <xf numFmtId="0" fontId="0" fillId="0" borderId="1" xfId="0" applyNumberFormat="1" applyBorder="1"/>
    <xf numFmtId="0" fontId="12" fillId="4" borderId="1" xfId="0" applyNumberFormat="1" applyFont="1" applyFill="1" applyBorder="1"/>
    <xf numFmtId="173" fontId="4" fillId="0" borderId="8" xfId="0" applyNumberFormat="1" applyFont="1" applyFill="1" applyBorder="1" applyAlignment="1">
      <alignment horizontal="center"/>
    </xf>
    <xf numFmtId="0" fontId="0" fillId="0" borderId="1" xfId="0" pivotButton="1" applyBorder="1"/>
    <xf numFmtId="0" fontId="0" fillId="0" borderId="28" xfId="0" pivotButton="1" applyBorder="1"/>
    <xf numFmtId="0" fontId="0" fillId="0" borderId="29" xfId="0" applyBorder="1"/>
    <xf numFmtId="164" fontId="0" fillId="0" borderId="31" xfId="0" applyNumberFormat="1" applyBorder="1"/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164" fontId="2" fillId="0" borderId="0" xfId="1" applyFont="1"/>
    <xf numFmtId="173" fontId="2" fillId="0" borderId="0" xfId="1" applyNumberFormat="1" applyFont="1" applyAlignment="1">
      <alignment horizontal="center"/>
    </xf>
    <xf numFmtId="164" fontId="2" fillId="0" borderId="0" xfId="1" applyFont="1" applyFill="1" applyBorder="1" applyAlignment="1">
      <alignment horizontal="center"/>
    </xf>
    <xf numFmtId="164" fontId="2" fillId="0" borderId="0" xfId="0" applyNumberFormat="1" applyFont="1" applyFill="1" applyBorder="1"/>
    <xf numFmtId="164" fontId="30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0" fillId="0" borderId="0" xfId="0" applyFont="1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0" xfId="1" applyNumberFormat="1" applyFont="1" applyAlignment="1">
      <alignment horizontal="center"/>
    </xf>
    <xf numFmtId="164" fontId="4" fillId="0" borderId="9" xfId="1" applyFont="1" applyBorder="1" applyAlignment="1">
      <alignment wrapText="1"/>
    </xf>
    <xf numFmtId="164" fontId="4" fillId="12" borderId="10" xfId="1" applyFont="1" applyFill="1" applyBorder="1" applyAlignment="1">
      <alignment wrapText="1"/>
    </xf>
    <xf numFmtId="164" fontId="4" fillId="0" borderId="10" xfId="1" applyFont="1" applyFill="1" applyBorder="1" applyAlignment="1">
      <alignment wrapText="1"/>
    </xf>
    <xf numFmtId="164" fontId="4" fillId="0" borderId="10" xfId="1" applyFont="1" applyFill="1" applyBorder="1" applyAlignment="1"/>
    <xf numFmtId="164" fontId="4" fillId="0" borderId="10" xfId="1" applyFont="1" applyBorder="1" applyAlignment="1">
      <alignment wrapText="1"/>
    </xf>
    <xf numFmtId="0" fontId="4" fillId="0" borderId="9" xfId="0" applyFont="1" applyFill="1" applyBorder="1" applyAlignment="1">
      <alignment wrapText="1"/>
    </xf>
    <xf numFmtId="0" fontId="4" fillId="12" borderId="10" xfId="7" applyFont="1" applyFill="1" applyBorder="1" applyAlignment="1">
      <alignment wrapText="1"/>
    </xf>
    <xf numFmtId="164" fontId="4" fillId="0" borderId="9" xfId="1" applyFont="1" applyFill="1" applyBorder="1" applyAlignment="1">
      <alignment wrapText="1"/>
    </xf>
    <xf numFmtId="1" fontId="4" fillId="0" borderId="9" xfId="0" applyNumberFormat="1" applyFont="1" applyFill="1" applyBorder="1"/>
    <xf numFmtId="164" fontId="4" fillId="0" borderId="9" xfId="1" applyFont="1" applyFill="1" applyBorder="1"/>
    <xf numFmtId="1" fontId="4" fillId="0" borderId="1" xfId="0" applyNumberFormat="1" applyFont="1" applyFill="1" applyBorder="1" applyAlignment="1">
      <alignment horizontal="center"/>
    </xf>
    <xf numFmtId="10" fontId="4" fillId="12" borderId="8" xfId="0" applyNumberFormat="1" applyFont="1" applyFill="1" applyBorder="1" applyAlignment="1">
      <alignment horizontal="center"/>
    </xf>
    <xf numFmtId="10" fontId="4" fillId="0" borderId="1" xfId="6" applyNumberFormat="1" applyFont="1" applyFill="1" applyBorder="1" applyAlignment="1">
      <alignment horizontal="center"/>
    </xf>
    <xf numFmtId="43" fontId="5" fillId="0" borderId="1" xfId="6" applyFont="1" applyFill="1" applyBorder="1" applyAlignment="1">
      <alignment horizontal="center"/>
    </xf>
    <xf numFmtId="164" fontId="5" fillId="0" borderId="1" xfId="1" applyFont="1" applyFill="1" applyBorder="1" applyAlignment="1">
      <alignment horizontal="right" vertical="center"/>
    </xf>
    <xf numFmtId="164" fontId="4" fillId="12" borderId="8" xfId="7" applyNumberFormat="1" applyFont="1" applyFill="1" applyBorder="1" applyAlignment="1">
      <alignment horizontal="right" vertical="center"/>
    </xf>
    <xf numFmtId="164" fontId="4" fillId="0" borderId="8" xfId="7" applyNumberFormat="1" applyFont="1" applyFill="1" applyBorder="1" applyAlignment="1">
      <alignment horizontal="right" vertical="center"/>
    </xf>
    <xf numFmtId="169" fontId="4" fillId="0" borderId="8" xfId="2" applyNumberFormat="1" applyFont="1" applyBorder="1"/>
    <xf numFmtId="10" fontId="4" fillId="12" borderId="8" xfId="6" applyNumberFormat="1" applyFont="1" applyFill="1" applyBorder="1" applyAlignment="1">
      <alignment horizontal="center"/>
    </xf>
    <xf numFmtId="164" fontId="5" fillId="12" borderId="8" xfId="1" applyFont="1" applyFill="1" applyBorder="1" applyAlignment="1">
      <alignment horizontal="right" vertical="center"/>
    </xf>
    <xf numFmtId="0" fontId="0" fillId="0" borderId="31" xfId="0" applyBorder="1" applyAlignment="1">
      <alignment horizontal="left"/>
    </xf>
    <xf numFmtId="14" fontId="4" fillId="12" borderId="9" xfId="7" applyNumberFormat="1" applyFont="1" applyFill="1" applyBorder="1" applyAlignment="1">
      <alignment horizontal="center"/>
    </xf>
    <xf numFmtId="169" fontId="4" fillId="12" borderId="8" xfId="2" applyNumberFormat="1" applyFont="1" applyFill="1" applyBorder="1"/>
    <xf numFmtId="0" fontId="2" fillId="0" borderId="1" xfId="0" applyFont="1" applyBorder="1"/>
    <xf numFmtId="0" fontId="2" fillId="13" borderId="1" xfId="0" applyFont="1" applyFill="1" applyBorder="1"/>
    <xf numFmtId="164" fontId="2" fillId="0" borderId="1" xfId="1" applyFont="1" applyBorder="1"/>
    <xf numFmtId="165" fontId="32" fillId="0" borderId="0" xfId="1" applyNumberFormat="1" applyFont="1" applyAlignment="1">
      <alignment horizontal="center" vertical="top"/>
    </xf>
    <xf numFmtId="164" fontId="32" fillId="0" borderId="0" xfId="1" applyFont="1" applyAlignment="1">
      <alignment horizontal="center" vertical="top"/>
    </xf>
    <xf numFmtId="0" fontId="0" fillId="11" borderId="0" xfId="0" applyFill="1"/>
    <xf numFmtId="10" fontId="0" fillId="11" borderId="0" xfId="0" applyNumberFormat="1" applyFill="1"/>
    <xf numFmtId="164" fontId="0" fillId="11" borderId="0" xfId="1" applyFont="1" applyFill="1"/>
    <xf numFmtId="164" fontId="18" fillId="11" borderId="13" xfId="9" applyNumberFormat="1" applyFont="1" applyFill="1" applyBorder="1" applyAlignment="1">
      <alignment horizontal="center"/>
    </xf>
    <xf numFmtId="164" fontId="18" fillId="11" borderId="14" xfId="9" applyNumberFormat="1" applyFont="1" applyFill="1" applyBorder="1" applyAlignment="1">
      <alignment horizontal="center"/>
    </xf>
    <xf numFmtId="164" fontId="18" fillId="11" borderId="15" xfId="9" applyNumberFormat="1" applyFont="1" applyFill="1" applyBorder="1" applyAlignment="1">
      <alignment horizontal="center"/>
    </xf>
    <xf numFmtId="164" fontId="17" fillId="11" borderId="12" xfId="10" applyNumberFormat="1" applyFont="1" applyFill="1" applyBorder="1" applyAlignment="1">
      <alignment horizontal="center"/>
    </xf>
    <xf numFmtId="164" fontId="17" fillId="11" borderId="16" xfId="10" applyNumberFormat="1" applyFont="1" applyFill="1" applyBorder="1" applyAlignment="1">
      <alignment horizontal="center"/>
    </xf>
    <xf numFmtId="164" fontId="17" fillId="11" borderId="9" xfId="10" applyNumberFormat="1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64" fontId="4" fillId="11" borderId="1" xfId="1" applyNumberFormat="1" applyFont="1" applyFill="1" applyBorder="1" applyAlignment="1">
      <alignment horizontal="center"/>
    </xf>
    <xf numFmtId="10" fontId="2" fillId="11" borderId="1" xfId="0" applyNumberFormat="1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 wrapText="1"/>
    </xf>
    <xf numFmtId="164" fontId="3" fillId="4" borderId="1" xfId="1" applyNumberFormat="1" applyFont="1" applyFill="1" applyBorder="1" applyAlignment="1">
      <alignment horizontal="center" wrapText="1"/>
    </xf>
    <xf numFmtId="0" fontId="33" fillId="0" borderId="0" xfId="11" applyAlignment="1">
      <alignment vertical="center"/>
    </xf>
    <xf numFmtId="0" fontId="33" fillId="0" borderId="0" xfId="11"/>
    <xf numFmtId="10" fontId="4" fillId="11" borderId="8" xfId="0" applyNumberFormat="1" applyFont="1" applyFill="1" applyBorder="1" applyAlignment="1">
      <alignment horizontal="center"/>
    </xf>
    <xf numFmtId="9" fontId="24" fillId="0" borderId="0" xfId="2" applyFont="1" applyAlignment="1">
      <alignment horizontal="center"/>
    </xf>
    <xf numFmtId="10" fontId="17" fillId="0" borderId="0" xfId="2" applyNumberFormat="1" applyFont="1" applyAlignment="1">
      <alignment horizontal="center"/>
    </xf>
    <xf numFmtId="164" fontId="22" fillId="11" borderId="0" xfId="1" applyFont="1" applyFill="1"/>
    <xf numFmtId="0" fontId="4" fillId="11" borderId="10" xfId="0" applyFont="1" applyFill="1" applyBorder="1" applyAlignment="1">
      <alignment wrapText="1"/>
    </xf>
    <xf numFmtId="164" fontId="4" fillId="11" borderId="10" xfId="1" applyFont="1" applyFill="1" applyBorder="1" applyAlignment="1">
      <alignment wrapText="1"/>
    </xf>
    <xf numFmtId="14" fontId="4" fillId="11" borderId="10" xfId="0" applyNumberFormat="1" applyFont="1" applyFill="1" applyBorder="1" applyAlignment="1">
      <alignment horizontal="center"/>
    </xf>
    <xf numFmtId="1" fontId="4" fillId="11" borderId="10" xfId="0" applyNumberFormat="1" applyFont="1" applyFill="1" applyBorder="1"/>
    <xf numFmtId="164" fontId="4" fillId="11" borderId="10" xfId="1" applyFont="1" applyFill="1" applyBorder="1"/>
    <xf numFmtId="0" fontId="4" fillId="11" borderId="8" xfId="0" applyFont="1" applyFill="1" applyBorder="1" applyAlignment="1">
      <alignment horizontal="center"/>
    </xf>
    <xf numFmtId="1" fontId="4" fillId="11" borderId="8" xfId="0" applyNumberFormat="1" applyFont="1" applyFill="1" applyBorder="1" applyAlignment="1">
      <alignment horizontal="center"/>
    </xf>
    <xf numFmtId="10" fontId="4" fillId="11" borderId="8" xfId="6" applyNumberFormat="1" applyFont="1" applyFill="1" applyBorder="1" applyAlignment="1">
      <alignment horizontal="center"/>
    </xf>
    <xf numFmtId="164" fontId="4" fillId="11" borderId="8" xfId="1" applyFont="1" applyFill="1" applyBorder="1" applyAlignment="1">
      <alignment horizontal="center"/>
    </xf>
    <xf numFmtId="0" fontId="4" fillId="11" borderId="1" xfId="7" applyFont="1" applyFill="1" applyBorder="1" applyAlignment="1">
      <alignment horizontal="center"/>
    </xf>
    <xf numFmtId="173" fontId="4" fillId="11" borderId="8" xfId="0" applyNumberFormat="1" applyFont="1" applyFill="1" applyBorder="1" applyAlignment="1">
      <alignment horizontal="center"/>
    </xf>
    <xf numFmtId="173" fontId="31" fillId="11" borderId="8" xfId="0" applyNumberFormat="1" applyFont="1" applyFill="1" applyBorder="1" applyAlignment="1">
      <alignment horizontal="center"/>
    </xf>
    <xf numFmtId="164" fontId="31" fillId="11" borderId="8" xfId="0" applyNumberFormat="1" applyFont="1" applyFill="1" applyBorder="1" applyAlignment="1">
      <alignment horizontal="center"/>
    </xf>
    <xf numFmtId="164" fontId="5" fillId="11" borderId="1" xfId="1" applyFont="1" applyFill="1" applyBorder="1" applyAlignment="1">
      <alignment horizontal="right" vertical="center"/>
    </xf>
    <xf numFmtId="14" fontId="4" fillId="11" borderId="8" xfId="0" applyNumberFormat="1" applyFont="1" applyFill="1" applyBorder="1" applyAlignment="1">
      <alignment horizontal="center"/>
    </xf>
    <xf numFmtId="14" fontId="4" fillId="11" borderId="11" xfId="0" applyNumberFormat="1" applyFont="1" applyFill="1" applyBorder="1" applyAlignment="1">
      <alignment horizontal="center"/>
    </xf>
    <xf numFmtId="169" fontId="4" fillId="11" borderId="8" xfId="2" applyNumberFormat="1" applyFont="1" applyFill="1" applyBorder="1"/>
    <xf numFmtId="0" fontId="13" fillId="11" borderId="0" xfId="0" applyFont="1" applyFill="1" applyBorder="1"/>
    <xf numFmtId="0" fontId="4" fillId="11" borderId="9" xfId="0" applyFont="1" applyFill="1" applyBorder="1" applyAlignment="1">
      <alignment wrapText="1"/>
    </xf>
    <xf numFmtId="14" fontId="4" fillId="11" borderId="9" xfId="0" applyNumberFormat="1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center"/>
    </xf>
    <xf numFmtId="10" fontId="4" fillId="11" borderId="1" xfId="6" applyNumberFormat="1" applyFont="1" applyFill="1" applyBorder="1" applyAlignment="1">
      <alignment horizontal="center"/>
    </xf>
    <xf numFmtId="164" fontId="4" fillId="11" borderId="1" xfId="1" applyFont="1" applyFill="1" applyBorder="1" applyAlignment="1">
      <alignment horizontal="center"/>
    </xf>
    <xf numFmtId="164" fontId="4" fillId="11" borderId="1" xfId="0" applyNumberFormat="1" applyFont="1" applyFill="1" applyBorder="1" applyAlignment="1">
      <alignment horizontal="center"/>
    </xf>
    <xf numFmtId="173" fontId="4" fillId="11" borderId="1" xfId="0" applyNumberFormat="1" applyFont="1" applyFill="1" applyBorder="1" applyAlignment="1">
      <alignment horizontal="center"/>
    </xf>
    <xf numFmtId="43" fontId="5" fillId="11" borderId="1" xfId="6" applyFont="1" applyFill="1" applyBorder="1" applyAlignment="1">
      <alignment horizontal="right"/>
    </xf>
    <xf numFmtId="164" fontId="5" fillId="11" borderId="1" xfId="1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0" fontId="2" fillId="11" borderId="0" xfId="0" applyFont="1" applyFill="1" applyAlignment="1">
      <alignment wrapText="1"/>
    </xf>
    <xf numFmtId="164" fontId="4" fillId="11" borderId="8" xfId="0" applyNumberFormat="1" applyFont="1" applyFill="1" applyBorder="1" applyAlignment="1">
      <alignment horizontal="center"/>
    </xf>
    <xf numFmtId="43" fontId="5" fillId="11" borderId="8" xfId="6" applyFont="1" applyFill="1" applyBorder="1" applyAlignment="1">
      <alignment horizontal="right"/>
    </xf>
    <xf numFmtId="164" fontId="5" fillId="11" borderId="8" xfId="1" applyFont="1" applyFill="1" applyBorder="1" applyAlignment="1">
      <alignment horizontal="right" vertical="center"/>
    </xf>
    <xf numFmtId="0" fontId="0" fillId="11" borderId="0" xfId="0" applyFill="1" applyBorder="1"/>
    <xf numFmtId="164" fontId="4" fillId="11" borderId="10" xfId="0" applyNumberFormat="1" applyFont="1" applyFill="1" applyBorder="1"/>
    <xf numFmtId="164" fontId="5" fillId="11" borderId="8" xfId="0" applyNumberFormat="1" applyFont="1" applyFill="1" applyBorder="1" applyAlignment="1">
      <alignment horizontal="right" vertical="center"/>
    </xf>
    <xf numFmtId="10" fontId="4" fillId="11" borderId="8" xfId="0" applyNumberFormat="1" applyFont="1" applyFill="1" applyBorder="1"/>
    <xf numFmtId="164" fontId="23" fillId="11" borderId="23" xfId="1" applyFont="1" applyFill="1" applyBorder="1" applyAlignment="1">
      <alignment horizontal="center" vertical="center"/>
    </xf>
    <xf numFmtId="174" fontId="10" fillId="11" borderId="30" xfId="4" applyNumberFormat="1" applyFont="1" applyFill="1" applyBorder="1" applyAlignment="1">
      <alignment horizontal="center"/>
    </xf>
    <xf numFmtId="0" fontId="35" fillId="11" borderId="0" xfId="0" applyFont="1" applyFill="1"/>
    <xf numFmtId="164" fontId="23" fillId="11" borderId="32" xfId="1" applyFont="1" applyFill="1" applyBorder="1" applyAlignment="1">
      <alignment horizontal="center" vertical="center"/>
    </xf>
    <xf numFmtId="164" fontId="25" fillId="11" borderId="33" xfId="1" applyFont="1" applyFill="1" applyBorder="1" applyAlignment="1">
      <alignment horizontal="left"/>
    </xf>
    <xf numFmtId="164" fontId="23" fillId="11" borderId="24" xfId="1" applyFont="1" applyFill="1" applyBorder="1" applyAlignment="1">
      <alignment horizontal="center" vertical="center"/>
    </xf>
    <xf numFmtId="10" fontId="0" fillId="11" borderId="0" xfId="0" applyNumberFormat="1" applyFont="1" applyFill="1" applyBorder="1"/>
    <xf numFmtId="173" fontId="4" fillId="11" borderId="10" xfId="1" applyNumberFormat="1" applyFont="1" applyFill="1" applyBorder="1"/>
    <xf numFmtId="10" fontId="8" fillId="14" borderId="3" xfId="4" applyNumberFormat="1" applyFont="1" applyFill="1" applyBorder="1" applyAlignment="1">
      <alignment horizontal="center" wrapText="1"/>
    </xf>
    <xf numFmtId="175" fontId="25" fillId="11" borderId="21" xfId="1" applyNumberFormat="1" applyFont="1" applyFill="1" applyBorder="1" applyAlignment="1">
      <alignment horizontal="center"/>
    </xf>
    <xf numFmtId="166" fontId="3" fillId="15" borderId="1" xfId="2" applyNumberFormat="1" applyFont="1" applyFill="1" applyBorder="1" applyAlignment="1">
      <alignment horizontal="center" wrapText="1"/>
    </xf>
    <xf numFmtId="0" fontId="36" fillId="11" borderId="34" xfId="0" applyFont="1" applyFill="1" applyBorder="1"/>
    <xf numFmtId="164" fontId="37" fillId="11" borderId="35" xfId="1" applyFont="1" applyFill="1" applyBorder="1" applyAlignment="1">
      <alignment horizontal="center"/>
    </xf>
    <xf numFmtId="173" fontId="34" fillId="11" borderId="36" xfId="8" applyNumberFormat="1" applyFont="1" applyFill="1" applyBorder="1" applyAlignment="1">
      <alignment horizontal="left"/>
    </xf>
    <xf numFmtId="0" fontId="6" fillId="0" borderId="2" xfId="3" applyAlignment="1">
      <alignment horizontal="center" vertical="center"/>
    </xf>
    <xf numFmtId="164" fontId="7" fillId="5" borderId="5" xfId="4" applyNumberFormat="1" applyBorder="1" applyAlignment="1">
      <alignment horizontal="center"/>
    </xf>
    <xf numFmtId="164" fontId="7" fillId="5" borderId="6" xfId="4" applyNumberFormat="1" applyBorder="1" applyAlignment="1">
      <alignment horizontal="center"/>
    </xf>
    <xf numFmtId="0" fontId="14" fillId="0" borderId="2" xfId="3" applyFont="1" applyAlignment="1">
      <alignment horizontal="center" vertical="center"/>
    </xf>
    <xf numFmtId="164" fontId="4" fillId="0" borderId="37" xfId="1" applyNumberFormat="1" applyFont="1" applyFill="1" applyBorder="1" applyAlignment="1">
      <alignment wrapText="1"/>
    </xf>
    <xf numFmtId="164" fontId="4" fillId="0" borderId="10" xfId="1" applyNumberFormat="1" applyFont="1" applyFill="1" applyBorder="1" applyAlignment="1">
      <alignment wrapText="1"/>
    </xf>
    <xf numFmtId="164" fontId="4" fillId="0" borderId="9" xfId="1" applyNumberFormat="1" applyFont="1" applyFill="1" applyBorder="1" applyAlignment="1">
      <alignment wrapText="1"/>
    </xf>
    <xf numFmtId="176" fontId="4" fillId="0" borderId="1" xfId="0" applyNumberFormat="1" applyFont="1" applyFill="1" applyBorder="1" applyAlignment="1">
      <alignment horizontal="center"/>
    </xf>
    <xf numFmtId="176" fontId="5" fillId="0" borderId="1" xfId="6" applyNumberFormat="1" applyFont="1" applyFill="1" applyBorder="1" applyAlignment="1">
      <alignment horizontal="center"/>
    </xf>
    <xf numFmtId="164" fontId="4" fillId="0" borderId="10" xfId="1" applyNumberFormat="1" applyFont="1" applyFill="1" applyBorder="1"/>
    <xf numFmtId="176" fontId="5" fillId="2" borderId="8" xfId="6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164" fontId="4" fillId="0" borderId="0" xfId="1" applyFont="1" applyAlignment="1">
      <alignment horizontal="center" vertical="top"/>
    </xf>
    <xf numFmtId="164" fontId="25" fillId="0" borderId="20" xfId="1" applyFont="1" applyBorder="1" applyAlignment="1">
      <alignment horizontal="center"/>
    </xf>
    <xf numFmtId="167" fontId="32" fillId="0" borderId="21" xfId="1" applyNumberFormat="1" applyFont="1" applyBorder="1" applyAlignment="1">
      <alignment horizontal="center"/>
    </xf>
  </cellXfs>
  <cellStyles count="12">
    <cellStyle name="60% - Énfasis3" xfId="7" builtinId="40"/>
    <cellStyle name="Cálculo" xfId="5" builtinId="22"/>
    <cellStyle name="Encabezado 1" xfId="3" builtinId="16"/>
    <cellStyle name="Encabezado 4" xfId="9" builtinId="19"/>
    <cellStyle name="Énfasis4" xfId="8" builtinId="41"/>
    <cellStyle name="Hipervínculo" xfId="11" builtinId="8"/>
    <cellStyle name="Millares" xfId="6" builtinId="3"/>
    <cellStyle name="Millares [0]" xfId="1" builtinId="6"/>
    <cellStyle name="Normal" xfId="0" builtinId="0"/>
    <cellStyle name="Porcentaje" xfId="2" builtinId="5"/>
    <cellStyle name="Salida" xfId="4" builtinId="21"/>
    <cellStyle name="Texto de advertencia" xfId="10" builtinId="11"/>
  </cellStyles>
  <dxfs count="1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* #,##0_ ;_ * \-#,##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* #,##0_ ;_ * \-#,##0_ ;_ * &quot;-&quot;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* #,##0_ ;_ * \-#,##0_ ;_ * &quot;-&quot;_ ;_ @_ 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* #,##0_ ;_ * \-#,##0_ ;_ * &quot;-&quot;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 * #,##0_ ;_ * \-#,##0_ ;_ * &quot;-&quot;_ ;_ 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_ * #,##0_ ;_ * \-#,##0_ ;_ * &quot;-&quot;_ ;_ 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73" formatCode="_ * #,##0.00_ ;_ * \-#,##0.00_ ;_ * &quot;-&quot;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73" formatCode="_ * #,##0.00_ ;_ * \-#,##0.00_ ;_ * &quot;-&quot;_ ;_ @_ 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* #,##0_ ;_ * \-#,##0_ ;_ * &quot;-&quot;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* #,##0_ ;_ * \-#,##0_ ;_ * &quot;-&quot;_ ;_ @_ 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B000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numFmt numFmtId="164" formatCode="_ * #,##0_ ;_ * \-#,##0_ ;_ * &quot;-&quot;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numFmt numFmtId="164" formatCode="_ * #,##0_ ;_ * \-#,##0_ ;_ * &quot;-&quot;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  <dxf>
      <fill>
        <patternFill patternType="solid">
          <bgColor rgb="FFB00000"/>
        </patternFill>
      </fill>
    </dxf>
  </dxfs>
  <tableStyles count="0" defaultTableStyle="TableStyleMedium2" defaultPivotStyle="PivotStyleLight16"/>
  <colors>
    <mruColors>
      <color rgb="FFB000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[CARTERA_SOLAR_CBSA.xlsx]CARTERA GS!TablaDinámica2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 LA CARTERA GS..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tx>
            <c:rich>
              <a:bodyPr/>
              <a:lstStyle/>
              <a:p>
                <a:fld id="{D2A91841-07EE-45CA-8186-893461DAA50C}" type="CATEGORYNAME">
                  <a:rPr lang="en-US">
                    <a:solidFill>
                      <a:srgbClr val="B00000"/>
                    </a:solidFill>
                  </a:rPr>
                  <a:pPr/>
                  <a:t>[NOMBRE DE CATEGORÍA]</a:t>
                </a:fld>
                <a:r>
                  <a:rPr lang="en-US" baseline="0">
                    <a:solidFill>
                      <a:srgbClr val="B00000"/>
                    </a:solidFill>
                  </a:rPr>
                  <a:t>
</a:t>
                </a:r>
                <a:fld id="{FE73778C-DF4F-4A0A-BA6F-497B388DABD8}" type="PERCENTAGE">
                  <a:rPr lang="en-US" baseline="0">
                    <a:solidFill>
                      <a:srgbClr val="B00000"/>
                    </a:solidFill>
                  </a:rPr>
                  <a:pPr/>
                  <a:t>[PORCENTAJE]</a:t>
                </a:fld>
                <a:endParaRPr lang="en-US" baseline="0">
                  <a:solidFill>
                    <a:srgbClr val="B00000"/>
                  </a:solidFill>
                </a:endParaRPr>
              </a:p>
            </c:rich>
          </c:tx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layout>
            <c:manualLayout>
              <c:x val="0.23290988304822852"/>
              <c:y val="0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037063548631788E-2"/>
          <c:y val="0.24156638938277875"/>
          <c:w val="0.82761844535443096"/>
          <c:h val="0.65903633265599859"/>
        </c:manualLayout>
      </c:layout>
      <c:pie3DChart>
        <c:varyColors val="1"/>
        <c:ser>
          <c:idx val="0"/>
          <c:order val="0"/>
          <c:tx>
            <c:strRef>
              <c:f>'CARTERA GS'!$Q$54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69CA-4C77-9C33-2C0A09CAE5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9CA-4C77-9C33-2C0A09CAE5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9CA-4C77-9C33-2C0A09CAE51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'CARTERA GS'!$P$55:$P$58</c:f>
              <c:strCache>
                <c:ptCount val="3"/>
                <c:pt idx="0">
                  <c:v>BONOS CORPORATIVOS</c:v>
                </c:pt>
                <c:pt idx="1">
                  <c:v>BONOS FINANCIEROS</c:v>
                </c:pt>
                <c:pt idx="2">
                  <c:v>CDA</c:v>
                </c:pt>
              </c:strCache>
            </c:strRef>
          </c:cat>
          <c:val>
            <c:numRef>
              <c:f>'CARTERA GS'!$Q$55:$Q$58</c:f>
              <c:numCache>
                <c:formatCode>_ * #,##0_ ;_ * \-#,##0_ ;_ * "-"_ ;_ @_ </c:formatCode>
                <c:ptCount val="3"/>
                <c:pt idx="0">
                  <c:v>1835000000</c:v>
                </c:pt>
                <c:pt idx="1">
                  <c:v>2311000000</c:v>
                </c:pt>
                <c:pt idx="2">
                  <c:v>2545628790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A-4C77-9C33-2C0A09CAE5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[CARTERA_SOLAR_CBSA.xlsx]CARTERA GS!TablaDinámica3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 LA CARTERA USD.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9.2239868143991433E-2"/>
              <c:y val="-0.47389394379557248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8.6760066882713149E-3"/>
              <c:y val="-0.2486541143766040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'CARTERA GS'!$Q$62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C93-466B-857F-FD6FD6DE6B5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C93-466B-857F-FD6FD6DE6B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225E-47DF-B937-0CF515EFE30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'CARTERA GS'!$P$63:$P$66</c:f>
              <c:strCache>
                <c:ptCount val="3"/>
                <c:pt idx="0">
                  <c:v>BONOS CORPORATIVOS</c:v>
                </c:pt>
                <c:pt idx="1">
                  <c:v>BONOS FINANCIEROS</c:v>
                </c:pt>
                <c:pt idx="2">
                  <c:v>CDA</c:v>
                </c:pt>
              </c:strCache>
            </c:strRef>
          </c:cat>
          <c:val>
            <c:numRef>
              <c:f>'CARTERA GS'!$Q$63:$Q$66</c:f>
              <c:numCache>
                <c:formatCode>_ * #,##0_ ;_ * \-#,##0_ ;_ * "-"_ ;_ @_ </c:formatCode>
                <c:ptCount val="3"/>
                <c:pt idx="0">
                  <c:v>10000</c:v>
                </c:pt>
                <c:pt idx="1">
                  <c:v>25060.1</c:v>
                </c:pt>
                <c:pt idx="2">
                  <c:v>109000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3-466B-857F-FD6FD6DE6B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hyperlink" Target="https://bancadigital.solar.com.py/facturas-y-extractos/factur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45721</xdr:colOff>
      <xdr:row>0</xdr:row>
      <xdr:rowOff>68580</xdr:rowOff>
    </xdr:from>
    <xdr:to>
      <xdr:col>2</xdr:col>
      <xdr:colOff>70303</xdr:colOff>
      <xdr:row>0</xdr:row>
      <xdr:rowOff>419100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1" y="68580"/>
          <a:ext cx="1492260" cy="350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45721</xdr:colOff>
      <xdr:row>0</xdr:row>
      <xdr:rowOff>68579</xdr:rowOff>
    </xdr:from>
    <xdr:to>
      <xdr:col>1</xdr:col>
      <xdr:colOff>1692088</xdr:colOff>
      <xdr:row>0</xdr:row>
      <xdr:rowOff>464528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86" y="68579"/>
          <a:ext cx="1646367" cy="395949"/>
        </a:xfrm>
        <a:prstGeom prst="rect">
          <a:avLst/>
        </a:prstGeom>
      </xdr:spPr>
    </xdr:pic>
    <xdr:clientData/>
  </xdr:twoCellAnchor>
  <xdr:twoCellAnchor>
    <xdr:from>
      <xdr:col>17</xdr:col>
      <xdr:colOff>429666</xdr:colOff>
      <xdr:row>44</xdr:row>
      <xdr:rowOff>146636</xdr:rowOff>
    </xdr:from>
    <xdr:to>
      <xdr:col>22</xdr:col>
      <xdr:colOff>1057835</xdr:colOff>
      <xdr:row>63</xdr:row>
      <xdr:rowOff>188257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448234</xdr:colOff>
      <xdr:row>65</xdr:row>
      <xdr:rowOff>67234</xdr:rowOff>
    </xdr:from>
    <xdr:to>
      <xdr:col>22</xdr:col>
      <xdr:colOff>1111623</xdr:colOff>
      <xdr:row>70</xdr:row>
      <xdr:rowOff>744069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285750</xdr:colOff>
      <xdr:row>52</xdr:row>
      <xdr:rowOff>95250</xdr:rowOff>
    </xdr:to>
    <xdr:sp macro="" textlink="">
      <xdr:nvSpPr>
        <xdr:cNvPr id="2049" name="AutoShape 1" descr="check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5934075" y="1144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95250</xdr:colOff>
      <xdr:row>55</xdr:row>
      <xdr:rowOff>95250</xdr:rowOff>
    </xdr:to>
    <xdr:sp macro="" textlink="">
      <xdr:nvSpPr>
        <xdr:cNvPr id="2050" name="AutoShape 2" descr="im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5934075" y="122110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ding/CARTERA_SOLAR_CBSA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Trading"/>
      <sheetName val="CARTERA GS"/>
      <sheetName val="CARTERA USD"/>
      <sheetName val="Hoja3"/>
      <sheetName val="Hoja2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manuel Ayala" refreshedDate="46287.590968287041" createdVersion="6" refreshedVersion="6" minRefreshableVersion="3" recordCount="38">
  <cacheSource type="worksheet">
    <worksheetSource name="Tabla1"/>
  </cacheSource>
  <cacheFields count="24">
    <cacheField name="Emisor" numFmtId="0">
      <sharedItems/>
    </cacheField>
    <cacheField name="TIPO" numFmtId="0">
      <sharedItems count="3">
        <s v="CDA"/>
        <s v="BONOS CORPORATIVOS"/>
        <s v="BONOS FINANCIEROS"/>
      </sharedItems>
    </cacheField>
    <cacheField name="plazos" numFmtId="164">
      <sharedItems containsMixedTypes="1" containsNumber="1" containsInteger="1" minValue="34" maxValue="2430"/>
    </cacheField>
    <cacheField name="FECHA DE COMPRA" numFmtId="14">
      <sharedItems containsSemiMixedTypes="0" containsNonDate="0" containsDate="1" containsString="0" minDate="2025-12-18T00:00:00" maxDate="2026-09-24T00:00:00"/>
    </cacheField>
    <cacheField name="DIAS EN CARTERA" numFmtId="1">
      <sharedItems containsSemiMixedTypes="0" containsString="0" containsNumber="1" containsInteger="1" minValue="-1" maxValue="278"/>
    </cacheField>
    <cacheField name="DEVENGADO A LA FECHA" numFmtId="164">
      <sharedItems containsSemiMixedTypes="0" containsString="0" containsNumber="1" minValue="-12.427397260273972" maxValue="50649315.06849315"/>
    </cacheField>
    <cacheField name="ISIN" numFmtId="0">
      <sharedItems/>
    </cacheField>
    <cacheField name="PLAZOS DIAS" numFmtId="1">
      <sharedItems containsMixedTypes="1" containsNumber="1" containsInteger="1" minValue="35" maxValue="2291"/>
    </cacheField>
    <cacheField name="TNA" numFmtId="0">
      <sharedItems containsMixedTypes="1" containsNumber="1" minValue="6.7500000000000004E-2" maxValue="0.13250000000000001"/>
    </cacheField>
    <cacheField name="TNA Remarcada" numFmtId="10">
      <sharedItems containsSemiMixedTypes="0" containsString="0" containsNumber="1" minValue="5.3999999999999999E-2" maxValue="0.13250000000000001"/>
    </cacheField>
    <cacheField name="Cantidad" numFmtId="164">
      <sharedItems containsString="0" containsBlank="1" containsNumber="1" containsInteger="1" minValue="1" maxValue="950"/>
    </cacheField>
    <cacheField name="Periodicidad" numFmtId="0">
      <sharedItems/>
    </cacheField>
    <cacheField name="MONEDA" numFmtId="0">
      <sharedItems count="3">
        <s v="Gs."/>
        <s v="USD."/>
        <s v="USD" u="1"/>
      </sharedItems>
    </cacheField>
    <cacheField name="Valor por Corte" numFmtId="164">
      <sharedItems containsSemiMixedTypes="0" containsString="0" containsNumber="1" containsInteger="1" minValue="1000" maxValue="1000000000"/>
    </cacheField>
    <cacheField name="Valor Nominal" numFmtId="0">
      <sharedItems containsSemiMixedTypes="0" containsString="0" containsNumber="1" minValue="10000" maxValue="1000000000"/>
    </cacheField>
    <cacheField name="Precio de Compra" numFmtId="0">
      <sharedItems containsSemiMixedTypes="0" containsString="0" containsNumber="1" minValue="10000" maxValue="1032460000"/>
    </cacheField>
    <cacheField name="Valor Moneda Local" numFmtId="164">
      <sharedItems containsSemiMixedTypes="0" containsString="0" containsNumber="1" containsInteger="1" minValue="4986439" maxValue="1032460000"/>
    </cacheField>
    <cacheField name="Reportado" numFmtId="164">
      <sharedItems containsBlank="1"/>
    </cacheField>
    <cacheField name="Reportador" numFmtId="164">
      <sharedItems containsBlank="1"/>
    </cacheField>
    <cacheField name="Vencimiento" numFmtId="14">
      <sharedItems containsDate="1" containsMixedTypes="1" minDate="2026-10-27T00:00:00" maxDate="2032-12-31T00:00:00"/>
    </cacheField>
    <cacheField name="Riesgo" numFmtId="0">
      <sharedItems/>
    </cacheField>
    <cacheField name="PESO DE CADA INVERSIÓN / TOTAL" numFmtId="10">
      <sharedItems containsSemiMixedTypes="0" containsString="0" containsNumber="1" minValue="6.3198121242837219E-4" maxValue="0.13085396664509424"/>
    </cacheField>
    <cacheField name="CUANTO SUMA CADA INVERSIÓN A LA RENTABILIDAD" numFmtId="169">
      <sharedItems containsSemiMixedTypes="0" containsString="0" containsNumber="1" minValue="5.6246327906125121E-5" maxValue="1.311647672710335E-2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s v="FINANCIERA PARAGUAYO JAPONESA"/>
    <x v="0"/>
    <n v="138"/>
    <d v="2026-09-18T00:00:00"/>
    <n v="4"/>
    <n v="105377.77501369864"/>
    <s v="AB 8835"/>
    <n v="134"/>
    <n v="0.11"/>
    <n v="9.5000000000000001E-2"/>
    <m/>
    <s v="Mensual"/>
    <x v="0"/>
    <n v="100000000"/>
    <n v="101218126"/>
    <n v="101218126"/>
    <n v="101218126"/>
    <m/>
    <m/>
    <d v="2027-02-03T00:00:00"/>
    <s v="A"/>
    <n v="1.2828383940765693E-2"/>
    <n v="1.218696474372741E-3"/>
    <m/>
  </r>
  <r>
    <s v="FINANCIERA PARAGUAYO JAPONESA"/>
    <x v="0"/>
    <n v="138"/>
    <d v="2026-09-18T00:00:00"/>
    <n v="4"/>
    <n v="105377.77501369864"/>
    <s v="AB 8836"/>
    <n v="134"/>
    <n v="0.11"/>
    <n v="9.5000000000000001E-2"/>
    <m/>
    <s v="Mensual"/>
    <x v="0"/>
    <n v="100000000"/>
    <n v="101218126"/>
    <n v="101218126"/>
    <n v="101218126"/>
    <m/>
    <m/>
    <d v="2027-02-03T00:00:00"/>
    <s v="A"/>
    <n v="1.2828383940765693E-2"/>
    <n v="1.218696474372741E-3"/>
    <m/>
  </r>
  <r>
    <s v="FINANCIERA PARAGUAYO JAPONESA"/>
    <x v="0"/>
    <n v="138"/>
    <d v="2026-09-18T00:00:00"/>
    <n v="4"/>
    <n v="105377.77501369864"/>
    <s v="AB 8834"/>
    <n v="134"/>
    <n v="0.11"/>
    <n v="9.5000000000000001E-2"/>
    <m/>
    <s v="Mensual"/>
    <x v="0"/>
    <n v="100000000"/>
    <n v="101218126"/>
    <n v="101218126"/>
    <n v="101218126"/>
    <m/>
    <m/>
    <d v="2027-02-03T00:00:00"/>
    <s v="A"/>
    <n v="1.2828383940765693E-2"/>
    <n v="1.218696474372741E-3"/>
    <m/>
  </r>
  <r>
    <s v="ITAU BANCO"/>
    <x v="0"/>
    <n v="168"/>
    <d v="2026-08-11T00:00:00"/>
    <n v="42"/>
    <n v="412808.21917808219"/>
    <s v="BE 9641"/>
    <n v="126"/>
    <n v="9.2499999999999999E-2"/>
    <n v="0.10249999999999999"/>
    <n v="1"/>
    <s v="Vencimiento"/>
    <x v="0"/>
    <n v="35000000"/>
    <n v="35000000"/>
    <n v="36407621"/>
    <n v="36407621"/>
    <m/>
    <m/>
    <d v="2027-01-26T00:00:00"/>
    <s v="AAA"/>
    <n v="4.6143014005009713E-3"/>
    <n v="4.7296589355134955E-4"/>
    <m/>
  </r>
  <r>
    <s v="TU FINANCIERA SAECA"/>
    <x v="0"/>
    <n v="178"/>
    <d v="2026-09-18T00:00:00"/>
    <n v="4"/>
    <n v="104111.50049315068"/>
    <s v="AC 2802"/>
    <n v="174"/>
    <n v="9.5000000000000001E-2"/>
    <n v="9.5000000000000001E-2"/>
    <m/>
    <s v="Mensual"/>
    <x v="0"/>
    <n v="100000000"/>
    <n v="100001836"/>
    <n v="100001836"/>
    <n v="100001836"/>
    <m/>
    <m/>
    <d v="2027-03-15T00:00:00"/>
    <s v="A"/>
    <n v="1.2674231362369667E-2"/>
    <n v="1.2040519794251183E-3"/>
    <m/>
  </r>
  <r>
    <s v="UENO BANK"/>
    <x v="0"/>
    <n v="188"/>
    <d v="2026-07-21T00:00:00"/>
    <n v="63"/>
    <n v="1186643.8356164384"/>
    <s v="UU 1659"/>
    <n v="125"/>
    <n v="0.1"/>
    <n v="0.125"/>
    <n v="1"/>
    <s v="Al vencimiento"/>
    <x v="0"/>
    <n v="55000000"/>
    <n v="55000000"/>
    <n v="67111528"/>
    <n v="67111528"/>
    <m/>
    <m/>
    <d v="2027-01-25T00:00:00"/>
    <s v="AA"/>
    <n v="8.5057141646294378E-3"/>
    <n v="1.0632142705786797E-3"/>
    <m/>
  </r>
  <r>
    <s v="ELECTROBAN"/>
    <x v="1"/>
    <n v="244"/>
    <d v="2026-07-22T00:00:00"/>
    <n v="62"/>
    <n v="4141260.2739726026"/>
    <s v="PYELE03F7454"/>
    <n v="182"/>
    <n v="0.13250000000000001"/>
    <n v="0.13250000000000001"/>
    <n v="184"/>
    <s v="Mensual"/>
    <x v="0"/>
    <n v="1000000"/>
    <n v="184000000"/>
    <n v="184000000"/>
    <n v="184000000"/>
    <m/>
    <m/>
    <d v="2027-03-23T00:00:00"/>
    <s v="BBB"/>
    <n v="2.3320157548667592E-2"/>
    <n v="3.0899208751984561E-3"/>
    <m/>
  </r>
  <r>
    <s v="FIC SAECA"/>
    <x v="0"/>
    <n v="273"/>
    <d v="2026-06-03T00:00:00"/>
    <n v="111"/>
    <n v="1581369.8630136987"/>
    <s v="AA 4084"/>
    <n v="162"/>
    <n v="0.105"/>
    <n v="0.104"/>
    <n v="1"/>
    <s v="Trimestral"/>
    <x v="0"/>
    <n v="50000000"/>
    <n v="50000000"/>
    <n v="50133853"/>
    <n v="50133853"/>
    <m/>
    <m/>
    <d v="2027-03-03T00:00:00"/>
    <s v="A-"/>
    <n v="6.3539638613138117E-3"/>
    <n v="6.608122415766364E-4"/>
    <m/>
  </r>
  <r>
    <s v="SUDAMERIS BANK SAECA"/>
    <x v="0"/>
    <n v="278"/>
    <d v="2026-09-18T00:00:00"/>
    <n v="4"/>
    <n v="4876.7123287671229"/>
    <s v="AL 1475"/>
    <n v="274"/>
    <n v="8.5000000000000006E-2"/>
    <n v="8.8999999999999996E-2"/>
    <m/>
    <s v="Mensual"/>
    <x v="0"/>
    <n v="5000000"/>
    <n v="5000000"/>
    <n v="4986439"/>
    <n v="4986439"/>
    <m/>
    <m/>
    <d v="2027-06-23T00:00:00"/>
    <s v="AAA"/>
    <n v="6.3198121242837219E-4"/>
    <n v="5.6246327906125121E-5"/>
    <m/>
  </r>
  <r>
    <s v="FIC SAECA"/>
    <x v="2"/>
    <n v="329"/>
    <d v="2026-03-09T00:00:00"/>
    <n v="197"/>
    <n v="7818201.3698630137"/>
    <s v="PYFIC02F1520"/>
    <n v="132"/>
    <n v="0.105"/>
    <n v="0.10730000000000001"/>
    <n v="135"/>
    <s v="Mensual"/>
    <x v="0"/>
    <n v="1000000"/>
    <n v="135000000"/>
    <n v="135000000"/>
    <n v="135000000"/>
    <m/>
    <m/>
    <d v="2027-02-01T00:00:00"/>
    <s v="A-"/>
    <n v="1.710989820146807E-2"/>
    <n v="1.8358920770175241E-3"/>
    <m/>
  </r>
  <r>
    <s v="TU FINANCIERA SAECA"/>
    <x v="0"/>
    <n v="335"/>
    <d v="2026-06-11T00:00:00"/>
    <n v="103"/>
    <n v="28924657.534246575"/>
    <s v="AD 2239"/>
    <n v="232"/>
    <n v="0.104"/>
    <n v="0.10249999999999999"/>
    <n v="1"/>
    <s v="Al vencimiento"/>
    <x v="0"/>
    <n v="1000000000"/>
    <n v="1000000000"/>
    <n v="1009670507"/>
    <n v="1009670507"/>
    <s v="SI"/>
    <s v="SOLAR BANCO"/>
    <d v="2027-05-12T00:00:00"/>
    <s v="A-"/>
    <n v="0.12796562660588634"/>
    <n v="1.311647672710335E-2"/>
    <m/>
  </r>
  <r>
    <s v="UENO BANK"/>
    <x v="0"/>
    <n v="353"/>
    <d v="2026-08-21T00:00:00"/>
    <n v="32"/>
    <n v="197.26027397260273"/>
    <s v="MM 5180"/>
    <n v="321"/>
    <n v="7.2499999999999995E-2"/>
    <n v="0.09"/>
    <n v="1"/>
    <s v="Mensual"/>
    <x v="1"/>
    <n v="25000"/>
    <n v="25000"/>
    <n v="24705.46"/>
    <n v="171702947"/>
    <m/>
    <m/>
    <d v="2027-08-09T00:00:00"/>
    <s v="AA"/>
    <n v="2.1761629215274574E-2"/>
    <n v="1.9585466293747114E-3"/>
    <m/>
  </r>
  <r>
    <s v="SOLAR BANCO "/>
    <x v="0"/>
    <n v="558"/>
    <d v="2026-09-16T00:00:00"/>
    <n v="6"/>
    <n v="307601.00909589045"/>
    <s v="BA 3772"/>
    <n v="552"/>
    <n v="0.08"/>
    <n v="9.5000000000000001E-2"/>
    <m/>
    <s v="Mensual"/>
    <x v="0"/>
    <n v="200000000"/>
    <n v="196972576"/>
    <n v="196972576"/>
    <n v="196972576"/>
    <m/>
    <m/>
    <d v="2028-03-27T00:00:00"/>
    <s v="A"/>
    <n v="2.4964301658080983E-2"/>
    <n v="2.3716086575176934E-3"/>
    <m/>
  </r>
  <r>
    <s v="SOLAR BANCO "/>
    <x v="2"/>
    <n v="649"/>
    <d v="2026-07-23T00:00:00"/>
    <n v="61"/>
    <n v="240657.53424657535"/>
    <s v="PYSAF01F0499"/>
    <n v="588"/>
    <n v="0.09"/>
    <n v="0.12"/>
    <n v="12"/>
    <s v="Trimestral"/>
    <x v="0"/>
    <n v="1000000"/>
    <n v="12000000"/>
    <n v="12071863"/>
    <n v="12071863"/>
    <m/>
    <m/>
    <d v="2028-05-02T00:00:00"/>
    <s v="A"/>
    <n v="1.5299877557931032E-3"/>
    <n v="1.8359853069517239E-4"/>
    <m/>
  </r>
  <r>
    <s v="TU FINANCIERA SAECA"/>
    <x v="0"/>
    <n v="732"/>
    <d v="2026-04-27T00:00:00"/>
    <n v="148"/>
    <n v="4216986.3013698626"/>
    <s v="AD 1930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1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2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3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4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5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6"/>
    <n v="584"/>
    <n v="0.104"/>
    <n v="0.104"/>
    <n v="1"/>
    <s v="Trimestral"/>
    <x v="0"/>
    <n v="100000000"/>
    <n v="100000000"/>
    <n v="100000000"/>
    <n v="100000000"/>
    <s v="SI"/>
    <s v="SOLAR BANCO"/>
    <d v="2028-04-28T00:00:00"/>
    <s v="A"/>
    <n v="1.2673998667754127E-2"/>
    <n v="1.3180958614464292E-3"/>
    <m/>
  </r>
  <r>
    <s v="TU FINANCIERA SAECA"/>
    <x v="0"/>
    <n v="732"/>
    <d v="2026-04-27T00:00:00"/>
    <n v="148"/>
    <n v="4216986.3013698626"/>
    <s v="AD 1937"/>
    <n v="584"/>
    <n v="0.104"/>
    <n v="0.104"/>
    <n v="1"/>
    <s v="Trimestral"/>
    <x v="0"/>
    <n v="100000000"/>
    <n v="100000000"/>
    <n v="100000000"/>
    <n v="100000000"/>
    <m/>
    <m/>
    <d v="2028-04-28T00:00:00"/>
    <s v="A"/>
    <n v="1.2673998667754127E-2"/>
    <n v="1.3180958614464292E-3"/>
    <m/>
  </r>
  <r>
    <s v="SUDAMERIS BANK SAECA"/>
    <x v="2"/>
    <n v="782"/>
    <d v="2026-01-30T00:00:00"/>
    <n v="235"/>
    <n v="39389863.013698637"/>
    <s v="PYSUD02F0108"/>
    <n v="547"/>
    <n v="7.9500000000000001E-2"/>
    <n v="7.0000000000000007E-2"/>
    <n v="874"/>
    <s v="Trimestral"/>
    <x v="0"/>
    <n v="1000000"/>
    <n v="874000000"/>
    <n v="897474682"/>
    <n v="897474682"/>
    <s v="SI"/>
    <s v="SOLAR BANCO"/>
    <d v="2028-03-22T00:00:00"/>
    <s v="AA+"/>
    <n v="0.11374592924011058"/>
    <n v="7.9622150468077416E-3"/>
    <m/>
  </r>
  <r>
    <s v="ELECTROBAN"/>
    <x v="1"/>
    <n v="880"/>
    <d v="2026-07-30T00:00:00"/>
    <n v="54"/>
    <n v="3395342.4657534244"/>
    <s v="PYELE01F9486"/>
    <n v="826"/>
    <n v="0.1275"/>
    <n v="0.1275"/>
    <n v="200"/>
    <s v="Trimestral"/>
    <x v="0"/>
    <n v="1000000"/>
    <n v="180000000"/>
    <n v="180000000"/>
    <n v="180000000"/>
    <m/>
    <m/>
    <d v="2028-12-26T00:00:00"/>
    <s v="BBB"/>
    <n v="2.2813197601957425E-2"/>
    <n v="2.9086826942495716E-3"/>
    <m/>
  </r>
  <r>
    <s v="NUCLEO"/>
    <x v="1"/>
    <n v="1040"/>
    <d v="2026-07-22T00:00:00"/>
    <n v="62"/>
    <n v="798356.1643835617"/>
    <s v="PYNUC01F0006"/>
    <n v="978"/>
    <n v="9.4E-2"/>
    <n v="9.4E-2"/>
    <n v="50"/>
    <s v="Trimestral"/>
    <x v="0"/>
    <n v="1000000"/>
    <n v="50000000"/>
    <n v="50721100"/>
    <n v="50721100"/>
    <m/>
    <m/>
    <d v="2029-05-27T00:00:00"/>
    <s v="AAA"/>
    <n v="6.4283915382702377E-3"/>
    <n v="6.042688045974023E-4"/>
    <m/>
  </r>
  <r>
    <s v="SUDAMERIS BANK SAECA"/>
    <x v="2"/>
    <n v="1080"/>
    <d v="2026-03-06T00:00:00"/>
    <n v="200"/>
    <n v="1534246.5753424657"/>
    <s v="PYSUD06F0005"/>
    <n v="880"/>
    <n v="0.10349999999999999"/>
    <n v="0.1"/>
    <n v="28"/>
    <s v="Semestral"/>
    <x v="0"/>
    <n v="1000000"/>
    <n v="28000000"/>
    <n v="28000000"/>
    <n v="28000000"/>
    <m/>
    <m/>
    <d v="2029-02-18T00:00:00"/>
    <s v="AAA"/>
    <n v="3.5487196269711552E-3"/>
    <n v="3.5487196269711553E-4"/>
    <m/>
  </r>
  <r>
    <s v="PETROMAX"/>
    <x v="2"/>
    <n v="1435"/>
    <d v="2026-07-07T00:00:00"/>
    <n v="77"/>
    <n v="2835287.6712328768"/>
    <s v="PYIPD01F0009"/>
    <n v="1358"/>
    <n v="0.1225"/>
    <n v="0.12"/>
    <n v="200"/>
    <s v="Trimestral"/>
    <x v="0"/>
    <n v="1000000"/>
    <n v="112000000"/>
    <n v="112000000"/>
    <n v="112000000"/>
    <m/>
    <m/>
    <d v="2030-06-11T00:00:00"/>
    <s v="A"/>
    <n v="1.4194878507884621E-2"/>
    <n v="1.7033854209461544E-3"/>
    <m/>
  </r>
  <r>
    <s v="TELEFONICA CELULAR DEL PARAGUAY S.A.E. (TELECEL SAE)"/>
    <x v="1"/>
    <n v="1518"/>
    <d v="2026-08-04T00:00:00"/>
    <n v="49"/>
    <n v="3058808.2191780824"/>
    <s v="PYTEL01F2070"/>
    <n v="1469"/>
    <n v="0.1085"/>
    <n v="0.1085"/>
    <n v="210"/>
    <s v="Mensual"/>
    <x v="0"/>
    <n v="1000000"/>
    <n v="210000000"/>
    <n v="415616690"/>
    <n v="415616690"/>
    <m/>
    <m/>
    <d v="2030-09-30T00:00:00"/>
    <s v="AAA"/>
    <n v="5.2675253753563793E-2"/>
    <n v="5.7152650322616714E-3"/>
    <m/>
  </r>
  <r>
    <s v="SUDAMERIS BANK SAECA"/>
    <x v="2"/>
    <n v="1535"/>
    <d v="2026-09-07T00:00:00"/>
    <n v="15"/>
    <n v="63.336828082191779"/>
    <s v="PYSUD06F6721"/>
    <n v="1520"/>
    <n v="6.7500000000000004E-2"/>
    <n v="6.1499999999999999E-2"/>
    <m/>
    <s v="Trimestral"/>
    <x v="1"/>
    <n v="25000"/>
    <n v="25060.1"/>
    <n v="25060.1"/>
    <n v="147854590"/>
    <m/>
    <m/>
    <d v="2030-11-20T00:00:00"/>
    <s v="AAA"/>
    <n v="1.8739088766813326E-2"/>
    <n v="1.1524539591590195E-3"/>
    <m/>
  </r>
  <r>
    <s v="NUCLEO"/>
    <x v="1"/>
    <n v="1606"/>
    <d v="2026-08-25T00:00:00"/>
    <n v="28"/>
    <n v="1150684.9315068494"/>
    <s v="PYNUC05F1356"/>
    <n v="1578"/>
    <n v="0.08"/>
    <n v="0.1"/>
    <n v="150"/>
    <s v="Semestral"/>
    <x v="0"/>
    <n v="150000000"/>
    <n v="150000000"/>
    <n v="150460274"/>
    <n v="150460274"/>
    <m/>
    <m/>
    <d v="2031-01-17T00:00:00"/>
    <s v="AA"/>
    <n v="1.9069333122259207E-2"/>
    <n v="1.9069333122259209E-3"/>
    <m/>
  </r>
  <r>
    <s v="FIC SAECA"/>
    <x v="2"/>
    <n v="1692"/>
    <d v="2026-08-11T00:00:00"/>
    <n v="42"/>
    <n v="3037808.2191780824"/>
    <s v="PYFIC02F0001"/>
    <n v="1650"/>
    <n v="0.11"/>
    <n v="0.12"/>
    <n v="220"/>
    <s v="Mensual"/>
    <x v="0"/>
    <n v="1000000"/>
    <n v="220000000"/>
    <n v="213051918"/>
    <n v="213051918"/>
    <m/>
    <m/>
    <d v="2031-03-30T00:00:00"/>
    <s v="A-"/>
    <n v="2.7002197248944614E-2"/>
    <n v="3.2402636698733536E-3"/>
    <m/>
  </r>
  <r>
    <s v="FIC SAECA"/>
    <x v="2"/>
    <n v="1699"/>
    <d v="2026-08-04T00:00:00"/>
    <n v="49"/>
    <n v="5463835.6164383562"/>
    <s v="PYFIC02F0001"/>
    <n v="1650"/>
    <n v="0.11"/>
    <n v="0.11"/>
    <n v="370"/>
    <s v="Mensual"/>
    <x v="0"/>
    <n v="1000000"/>
    <n v="370000000"/>
    <n v="360000000"/>
    <n v="360000000"/>
    <m/>
    <m/>
    <d v="2031-03-30T00:00:00"/>
    <s v="A-"/>
    <n v="4.562639520391485E-2"/>
    <n v="5.0189034724306336E-3"/>
    <m/>
  </r>
  <r>
    <s v="FIC SAECA"/>
    <x v="2"/>
    <n v="1731"/>
    <d v="2026-07-03T00:00:00"/>
    <n v="81"/>
    <n v="4882191.7808219176"/>
    <s v="PYFIC02F0001"/>
    <n v="1650"/>
    <n v="0.11"/>
    <n v="0.11"/>
    <n v="200"/>
    <s v="Mensual"/>
    <x v="0"/>
    <n v="1000000"/>
    <n v="200000000"/>
    <n v="200180822"/>
    <n v="200180822"/>
    <m/>
    <m/>
    <d v="2031-03-30T00:00:00"/>
    <s v="A-"/>
    <n v="2.537091471337926E-2"/>
    <n v="2.7908006184717187E-3"/>
    <m/>
  </r>
  <r>
    <s v="TU FINANCIERA SAECA"/>
    <x v="0"/>
    <n v="34"/>
    <d v="2026-09-23T00:00:00"/>
    <n v="-1"/>
    <n v="-12.427397260273972"/>
    <s v="A DEFINIR"/>
    <n v="35"/>
    <s v="NA"/>
    <n v="5.3999999999999999E-2"/>
    <m/>
    <s v="Trimestral"/>
    <x v="1"/>
    <n v="84000"/>
    <n v="84000"/>
    <n v="495600000"/>
    <n v="495600000"/>
    <m/>
    <m/>
    <d v="2026-10-27T00:00:00"/>
    <s v="A"/>
    <n v="6.2812337397389451E-2"/>
    <n v="3.3918662194590303E-3"/>
    <m/>
  </r>
  <r>
    <s v="INTERBARGE DE PARAGUAY S.R.L."/>
    <x v="1"/>
    <e v="#VALUE!"/>
    <d v="2026-09-22T00:00:00"/>
    <n v="0"/>
    <n v="0"/>
    <s v="PYIBE03F0002"/>
    <e v="#VALUE!"/>
    <n v="0.08"/>
    <n v="0.08"/>
    <m/>
    <s v="Mensual"/>
    <x v="1"/>
    <n v="1000"/>
    <n v="10000"/>
    <n v="10000"/>
    <n v="59000000"/>
    <m/>
    <m/>
    <s v="22809/2033"/>
    <s v="A"/>
    <n v="7.4776592139749343E-3"/>
    <n v="5.9821273711799477E-4"/>
    <m/>
  </r>
  <r>
    <s v="FIC SAECA"/>
    <x v="2"/>
    <n v="1760"/>
    <d v="2026-06-04T00:00:00"/>
    <n v="110"/>
    <n v="11934246.575342465"/>
    <s v="PYFIC02F0001"/>
    <n v="1650"/>
    <n v="0.11"/>
    <n v="0.11"/>
    <n v="460"/>
    <s v="Mensual"/>
    <x v="0"/>
    <n v="1000000"/>
    <n v="360000000"/>
    <n v="360000000"/>
    <n v="360000000"/>
    <m/>
    <m/>
    <d v="2031-03-30T00:00:00"/>
    <s v="A-"/>
    <n v="4.562639520391485E-2"/>
    <n v="5.0189034724306336E-3"/>
    <m/>
  </r>
  <r>
    <s v="TELEFONICA CELULAR DEL PARAGUAY S.A.E. (TELECEL SAE)"/>
    <x v="1"/>
    <n v="2020"/>
    <d v="2025-12-18T00:00:00"/>
    <n v="278"/>
    <n v="50649315.06849315"/>
    <s v="PYTEL07F1159"/>
    <n v="1742"/>
    <n v="8.8999999999999996E-2"/>
    <n v="7.0000000000000007E-2"/>
    <n v="950"/>
    <s v="Mensual"/>
    <x v="0"/>
    <n v="1000000"/>
    <n v="950000000"/>
    <n v="1032460000"/>
    <n v="1032460000"/>
    <s v="SI"/>
    <s v="SOLAR BANCO"/>
    <d v="2031-06-30T00:00:00"/>
    <s v="AAA"/>
    <n v="0.13085396664509424"/>
    <n v="9.1597776651565974E-3"/>
    <m/>
  </r>
  <r>
    <s v="TELEFONICA CELULAR DEL PARAGUAY S.A.E. (TELECEL SAE)"/>
    <x v="1"/>
    <n v="2430"/>
    <d v="2026-05-06T00:00:00"/>
    <n v="139"/>
    <n v="5068320.8219178086"/>
    <s v="PYTEL01F2724"/>
    <n v="2291"/>
    <n v="0.12"/>
    <n v="0.11990000000000001"/>
    <n v="111"/>
    <s v="Semestral"/>
    <x v="0"/>
    <n v="1000000"/>
    <n v="111000000"/>
    <n v="116036055"/>
    <n v="116036055"/>
    <m/>
    <m/>
    <d v="2032-12-30T00:00:00"/>
    <s v="AAA"/>
    <n v="1.4706408064814444E-2"/>
    <n v="1.7632983269712519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P54:Q58" firstHeaderRow="1" firstDataRow="1" firstDataCol="1" rowPageCount="1" colPageCount="1"/>
  <pivotFields count="24">
    <pivotField showAll="0"/>
    <pivotField axis="axisRow" showAll="0">
      <items count="4">
        <item x="1"/>
        <item x="2"/>
        <item x="0"/>
        <item t="default"/>
      </items>
    </pivotField>
    <pivotField numFmtId="164" showAll="0" defaultSubtotal="0"/>
    <pivotField numFmtId="14" showAll="0"/>
    <pivotField numFmtId="1" showAll="0"/>
    <pivotField numFmtId="164" showAll="0"/>
    <pivotField showAll="0"/>
    <pivotField numFmtId="1" showAll="0"/>
    <pivotField showAll="0"/>
    <pivotField numFmtId="10" showAll="0"/>
    <pivotField numFmtId="164" showAll="0"/>
    <pivotField showAll="0"/>
    <pivotField axis="axisPage" multipleItemSelectionAllowed="1" showAll="0">
      <items count="4">
        <item x="0"/>
        <item h="1" x="1"/>
        <item h="1" m="1" x="2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numFmtId="14" showAll="0"/>
    <pivotField showAll="0"/>
    <pivotField numFmtId="10" showAll="0"/>
    <pivotField numFmtId="169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hier="-1"/>
  </pageFields>
  <dataFields count="1">
    <dataField name="Suma de Valor Nominal" fld="14" baseField="0" baseItem="0"/>
  </dataFields>
  <formats count="32"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outline="0" axis="axisValues" fieldPosition="0"/>
    </format>
    <format dxfId="105">
      <pivotArea dataOnly="0" labelOnly="1" outline="0" axis="axisValues" fieldPosition="0"/>
    </format>
    <format dxfId="104">
      <pivotArea grandRow="1" outline="0" collapsedLevelsAreSubtotals="1" fieldPosition="0"/>
    </format>
    <format dxfId="103">
      <pivotArea dataOnly="0" labelOnly="1" grandRow="1" outline="0" fieldPosition="0"/>
    </format>
    <format dxfId="102">
      <pivotArea field="1" type="button" dataOnly="0" labelOnly="1" outline="0" axis="axisRow" fieldPosition="0"/>
    </format>
    <format dxfId="101">
      <pivotArea dataOnly="0" labelOnly="1" outline="0" axis="axisValues" fieldPosition="0"/>
    </format>
    <format dxfId="100">
      <pivotArea dataOnly="0" labelOnly="1" outline="0" axis="axisValues" fieldPosition="0"/>
    </format>
    <format dxfId="99">
      <pivotArea grandRow="1" outline="0" collapsedLevelsAreSubtotals="1" fieldPosition="0"/>
    </format>
    <format dxfId="98">
      <pivotArea dataOnly="0" labelOnly="1" grandRow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1" type="button" dataOnly="0" labelOnly="1" outline="0" axis="axisRow" fieldPosition="0"/>
    </format>
    <format dxfId="94">
      <pivotArea dataOnly="0" labelOnly="1" outline="0" axis="axisValues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" type="button" dataOnly="0" labelOnly="1" outline="0" axis="axisRow" fieldPosition="0"/>
    </format>
    <format dxfId="87">
      <pivotArea dataOnly="0" labelOnly="1" outline="0" axis="axisValues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" type="button" dataOnly="0" labelOnly="1" outline="0" axis="axisRow" fieldPosition="0"/>
    </format>
    <format dxfId="80">
      <pivotArea dataOnly="0" labelOnly="1" outline="0" axis="axisValues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chartFormats count="4">
    <chartFormat chart="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P62:Q66" firstHeaderRow="1" firstDataRow="1" firstDataCol="1" rowPageCount="1" colPageCount="1"/>
  <pivotFields count="24">
    <pivotField showAll="0"/>
    <pivotField axis="axisRow" showAll="0">
      <items count="4">
        <item x="1"/>
        <item x="2"/>
        <item x="0"/>
        <item t="default"/>
      </items>
    </pivotField>
    <pivotField numFmtId="164" showAll="0" defaultSubtotal="0"/>
    <pivotField numFmtId="14" showAll="0"/>
    <pivotField numFmtId="1" showAll="0"/>
    <pivotField numFmtId="164" showAll="0"/>
    <pivotField showAll="0"/>
    <pivotField numFmtId="1" showAll="0"/>
    <pivotField showAll="0"/>
    <pivotField numFmtId="10" showAll="0"/>
    <pivotField numFmtId="164" showAll="0"/>
    <pivotField showAll="0"/>
    <pivotField axis="axisPage" multipleItemSelectionAllowed="1" showAll="0">
      <items count="4">
        <item h="1" x="0"/>
        <item x="1"/>
        <item h="1" m="1" x="2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numFmtId="14" showAll="0"/>
    <pivotField showAll="0"/>
    <pivotField numFmtId="10" showAll="0"/>
    <pivotField numFmtId="169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hier="-1"/>
  </pageFields>
  <dataFields count="1">
    <dataField name="Suma de Valor Nominal" fld="14" baseField="0" baseItem="0"/>
  </dataFields>
  <formats count="25">
    <format dxfId="133">
      <pivotArea outline="0" collapsedLevelsAreSubtotals="1" fieldPosition="0"/>
    </format>
    <format dxfId="132">
      <pivotArea field="1" type="button" dataOnly="0" labelOnly="1" outline="0" axis="axisRow" fieldPosition="0"/>
    </format>
    <format dxfId="131">
      <pivotArea dataOnly="0" labelOnly="1" outline="0" axis="axisValues" fieldPosition="0"/>
    </format>
    <format dxfId="130">
      <pivotArea dataOnly="0" labelOnly="1" outline="0" axis="axisValues" fieldPosition="0"/>
    </format>
    <format dxfId="129">
      <pivotArea grandRow="1" outline="0" collapsedLevelsAreSubtotals="1" fieldPosition="0"/>
    </format>
    <format dxfId="128">
      <pivotArea dataOnly="0" labelOnly="1" grandRow="1" outline="0" fieldPosition="0"/>
    </format>
    <format dxfId="127">
      <pivotArea field="1" type="button" dataOnly="0" labelOnly="1" outline="0" axis="axisRow" fieldPosition="0"/>
    </format>
    <format dxfId="126">
      <pivotArea dataOnly="0" labelOnly="1" outline="0" axis="axisValues" fieldPosition="0"/>
    </format>
    <format dxfId="125">
      <pivotArea dataOnly="0" labelOnly="1" outline="0" axis="axisValues" fieldPosition="0"/>
    </format>
    <format dxfId="124">
      <pivotArea grandRow="1" outline="0" collapsedLevelsAreSubtotals="1" fieldPosition="0"/>
    </format>
    <format dxfId="123">
      <pivotArea dataOnly="0" labelOnly="1" grandRow="1" outline="0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outline="0" axis="axisValues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" type="button" dataOnly="0" labelOnly="1" outline="0" axis="axisRow" fieldPosition="0"/>
    </format>
    <format dxfId="112">
      <pivotArea dataOnly="0" labelOnly="1" outline="0" axis="axisValues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</formats>
  <chartFormats count="5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46:Q50" firstHeaderRow="1" firstDataRow="1" firstDataCol="1"/>
  <pivotFields count="24">
    <pivotField showAll="0"/>
    <pivotField axis="axisRow" showAll="0">
      <items count="4">
        <item x="1"/>
        <item x="2"/>
        <item x="0"/>
        <item t="default"/>
      </items>
    </pivotField>
    <pivotField numFmtId="164" showAll="0" defaultSubtotal="0"/>
    <pivotField numFmtId="14" showAll="0"/>
    <pivotField numFmtId="1" showAll="0"/>
    <pivotField numFmtId="164" showAll="0"/>
    <pivotField showAll="0"/>
    <pivotField numFmtId="1" showAll="0"/>
    <pivotField showAll="0"/>
    <pivotField numFmtId="10" showAll="0"/>
    <pivotField numFmtId="164"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numFmtId="14" showAll="0"/>
    <pivotField showAll="0"/>
    <pivotField numFmtId="10" showAll="0"/>
    <pivotField numFmtId="169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Valor Moneda Local" fld="16" subtotal="count" baseField="1" baseItem="2"/>
  </dataFields>
  <formats count="31">
    <format dxfId="164">
      <pivotArea field="1" type="button" dataOnly="0" labelOnly="1" outline="0" axis="axisRow" fieldPosition="0"/>
    </format>
    <format dxfId="163">
      <pivotArea dataOnly="0" labelOnly="1" outline="0" axis="axisValues" fieldPosition="0"/>
    </format>
    <format dxfId="162">
      <pivotArea dataOnly="0" labelOnly="1" outline="0" axis="axisValues" fieldPosition="0"/>
    </format>
    <format dxfId="161">
      <pivotArea grandRow="1" outline="0" collapsedLevelsAreSubtotals="1" fieldPosition="0"/>
    </format>
    <format dxfId="160">
      <pivotArea dataOnly="0" labelOnly="1" grandRow="1" outline="0" fieldPosition="0"/>
    </format>
    <format dxfId="159">
      <pivotArea field="1" type="button" dataOnly="0" labelOnly="1" outline="0" axis="axisRow" fieldPosition="0"/>
    </format>
    <format dxfId="158">
      <pivotArea dataOnly="0" labelOnly="1" outline="0" axis="axisValues" fieldPosition="0"/>
    </format>
    <format dxfId="157">
      <pivotArea dataOnly="0" labelOnly="1" outline="0" axis="axisValues" fieldPosition="0"/>
    </format>
    <format dxfId="156">
      <pivotArea grandRow="1" outline="0" collapsedLevelsAreSubtotals="1" fieldPosition="0"/>
    </format>
    <format dxfId="155">
      <pivotArea dataOnly="0" labelOnly="1" grandRow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" type="button" dataOnly="0" labelOnly="1" outline="0" axis="axisRow" fieldPosition="0"/>
    </format>
    <format dxfId="151">
      <pivotArea dataOnly="0" labelOnly="1" outline="0" axis="axisValues" fieldPosition="0"/>
    </format>
    <format dxfId="150">
      <pivotArea dataOnly="0" labelOnly="1" fieldPosition="0">
        <references count="1">
          <reference field="1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" type="button" dataOnly="0" labelOnly="1" outline="0" axis="axisRow" fieldPosition="0"/>
    </format>
    <format dxfId="144">
      <pivotArea dataOnly="0" labelOnly="1" outline="0" axis="axisValues" fieldPosition="0"/>
    </format>
    <format dxfId="143">
      <pivotArea dataOnly="0" labelOnly="1" fieldPosition="0">
        <references count="1">
          <reference field="1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outline="0" axis="axisValues" fieldPosition="0"/>
    </format>
    <format dxfId="136">
      <pivotArea dataOnly="0" labelOnly="1" fieldPosition="0">
        <references count="1">
          <reference field="1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a14" displayName="Tabla14" ref="B2:Y39" totalsRowShown="0" headerRowDxfId="25" tableBorderDxfId="24">
  <sortState ref="B3:Y39">
    <sortCondition descending="1" ref="E2:E40"/>
  </sortState>
  <tableColumns count="24">
    <tableColumn id="1" name="EMISOR" dataDxfId="23"/>
    <tableColumn id="19" name="TIPO"/>
    <tableColumn id="24" name="plazos" dataDxfId="22" dataCellStyle="Millares [0]">
      <calculatedColumnFormula>Tabla14[[#This Row],[Vencimiento]]-TODAY()</calculatedColumnFormula>
    </tableColumn>
    <tableColumn id="18" name="FECHA DE COMPRA" dataDxfId="21" dataCellStyle="60% - Énfasis3"/>
    <tableColumn id="20" name="DIAS EN CARTERA" dataDxfId="20" dataCellStyle="60% - Énfasis3">
      <calculatedColumnFormula>+TODAY()-Tabla14[[#This Row],[FECHA DE COMPRA]]</calculatedColumnFormula>
    </tableColumn>
    <tableColumn id="21" name="DEVENGADO A LA FECHA" dataDxfId="19" dataCellStyle="Millares [0]">
      <calculatedColumnFormula>+Tabla14[[#This Row],[Valor Nominal]]*Tabla14[[#This Row],[DIAS EN CARTERA]]*Tabla14[[#This Row],[TNA Remarcada]]/365</calculatedColumnFormula>
    </tableColumn>
    <tableColumn id="2" name="ISIN" dataDxfId="18"/>
    <tableColumn id="23" name="PLAZOS DIAS" dataDxfId="17">
      <calculatedColumnFormula>+Tabla14[[#This Row],[Vencimiento]]-TODAY()</calculatedColumnFormula>
    </tableColumn>
    <tableColumn id="3" name="TNA" dataDxfId="16" dataCellStyle="Millares"/>
    <tableColumn id="4" name="TNA Remarcada" dataDxfId="15"/>
    <tableColumn id="5" name="Cantidad" dataDxfId="14" dataCellStyle="Millares [0]"/>
    <tableColumn id="6" name="Periodicidad" dataDxfId="13"/>
    <tableColumn id="22" name="MONEDA" dataDxfId="12"/>
    <tableColumn id="7" name="Valor por Corte" dataDxfId="11"/>
    <tableColumn id="8" name="Valor Nominal" dataDxfId="10"/>
    <tableColumn id="9" name="Precio de Compra" dataDxfId="9" dataCellStyle="Millares"/>
    <tableColumn id="17" name="Valor Moneda Local" dataDxfId="8" dataCellStyle="Millares [0]">
      <calculatedColumnFormula>+Tabla14[[#This Row],[Precio de Compra]]</calculatedColumnFormula>
    </tableColumn>
    <tableColumn id="10" name="Reportado" dataDxfId="7" dataCellStyle="Millares [0]"/>
    <tableColumn id="11" name="Reportador" dataDxfId="6" dataCellStyle="Millares [0]"/>
    <tableColumn id="13" name="Vencimiento" dataDxfId="5"/>
    <tableColumn id="14" name="Riesgo" dataDxfId="4"/>
    <tableColumn id="12" name="PESO DE CADA INVERSIÓN / TOTAL" dataDxfId="3" dataCellStyle="Porcentaje">
      <calculatedColumnFormula>Tabla14[[#This Row],[Valor Moneda Local]]/$R$40</calculatedColumnFormula>
    </tableColumn>
    <tableColumn id="15" name="CUANTO SUMA CADA INVERSIÓN A LA RENTABILIDAD" dataDxfId="2" dataCellStyle="Porcentaje">
      <calculatedColumnFormula>Tabla14[[#This Row],[PESO DE CADA INVERSIÓN / TOTAL]]*Tabla14[[#This Row],[TNA Remarcada]]</calculatedColumnFormula>
    </tableColumn>
    <tableColumn id="16" name="Observaciones" dataDxfId="0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3:X7" totalsRowCount="1" headerRowDxfId="76" dataDxfId="75" totalsRowDxfId="74">
  <autoFilter ref="A3:X6"/>
  <tableColumns count="24">
    <tableColumn id="1" name="Emisor" dataDxfId="73" totalsRowDxfId="72"/>
    <tableColumn id="2" name="TIPO" dataDxfId="71" totalsRowDxfId="70"/>
    <tableColumn id="3" name="plazos" dataDxfId="69" totalsRowDxfId="68">
      <calculatedColumnFormula>Tabla2[[#This Row],[Vencimiento]]-TODAY()</calculatedColumnFormula>
    </tableColumn>
    <tableColumn id="4" name="FECHA DE COMPRA" dataDxfId="67" totalsRowDxfId="66"/>
    <tableColumn id="5" name="DIAS EN CARTERA" dataDxfId="65" totalsRowDxfId="64">
      <calculatedColumnFormula>TODAY()-Tabla2[[#This Row],[FECHA DE COMPRA]]</calculatedColumnFormula>
    </tableColumn>
    <tableColumn id="6" name="DEVENGADO A LA FECHA" dataDxfId="63" totalsRowDxfId="62" dataCellStyle="Millares [0]">
      <calculatedColumnFormula>+Tabla2[[#This Row],[Valor Nominal]]*Tabla2[[#This Row],[DIAS EN CARTERA]]*Tabla2[[#This Row],[TNA Remarcada]]/365</calculatedColumnFormula>
    </tableColumn>
    <tableColumn id="7" name="ISIN" dataDxfId="61" totalsRowDxfId="60"/>
    <tableColumn id="8" name="PLAZOS DIAS" dataDxfId="59" totalsRowDxfId="58"/>
    <tableColumn id="9" name="TNA" dataDxfId="57" totalsRowDxfId="56" dataCellStyle="Millares"/>
    <tableColumn id="10" name="TNA Remarcada" dataDxfId="55" totalsRowDxfId="54" dataCellStyle="Millares"/>
    <tableColumn id="11" name="Cantidad" dataDxfId="53" totalsRowDxfId="52" dataCellStyle="Millares [0]"/>
    <tableColumn id="12" name="Periodicidad" dataDxfId="51" totalsRowDxfId="50"/>
    <tableColumn id="13" name="MONEDA" dataDxfId="49" totalsRowDxfId="48" dataCellStyle="60% - Énfasis3"/>
    <tableColumn id="14" name="Valor por Corte" dataDxfId="47" totalsRowDxfId="46"/>
    <tableColumn id="15" name="Valor Nominal" dataDxfId="45" totalsRowDxfId="44"/>
    <tableColumn id="16" name="Precio de Compra" dataDxfId="43" totalsRowDxfId="42"/>
    <tableColumn id="17" name="Valor Moneda Local" dataDxfId="41" totalsRowDxfId="40"/>
    <tableColumn id="18" name="Reportado" dataDxfId="39" totalsRowDxfId="38" dataCellStyle="Millares [0]"/>
    <tableColumn id="19" name="Reportador" dataDxfId="37" totalsRowDxfId="36" dataCellStyle="Millares [0]"/>
    <tableColumn id="20" name="Vencimiento" dataDxfId="35" totalsRowDxfId="34"/>
    <tableColumn id="21" name="Riesgo" dataDxfId="33" totalsRowDxfId="32"/>
    <tableColumn id="22" name="PESO DE CADA INVERSIÓN / TOTAL" totalsRowFunction="sum" dataDxfId="31" totalsRowDxfId="30" dataCellStyle="60% - Énfasis3">
      <calculatedColumnFormula>Tabla2[[#This Row],[Valor Nominal]]/$O$9</calculatedColumnFormula>
    </tableColumn>
    <tableColumn id="23" name="CUANTO SUMA CADA INVERSIÓN A LA RENTABILIDAD" totalsRowFunction="sum" dataDxfId="29" totalsRowDxfId="28" dataCellStyle="Porcentaje">
      <calculatedColumnFormula>Tabla2[[#This Row],[PESO DE CADA INVERSIÓN / TOTAL]]*Tabla2[[#This Row],[TNA Remarcada]]</calculatedColumnFormula>
    </tableColumn>
    <tableColumn id="24" name="Observaciones" totalsRowFunction="custom" dataDxfId="27" totalsRowDxfId="26">
      <totalsRowFormula>Tabla2[[#Totals],[CUANTO SUMA CADA INVERSIÓN A LA RENTABILIDAD]]/12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bancadigital.solar.com.py/facturas-y-extractos/factura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4"/>
  <sheetViews>
    <sheetView showGridLines="0" zoomScale="115" zoomScaleNormal="115" workbookViewId="0">
      <selection activeCell="G18" sqref="G18"/>
    </sheetView>
  </sheetViews>
  <sheetFormatPr baseColWidth="10" defaultColWidth="11.5703125" defaultRowHeight="15"/>
  <cols>
    <col min="1" max="1" width="1.85546875" style="2" customWidth="1"/>
    <col min="2" max="2" width="21.42578125" style="2" customWidth="1"/>
    <col min="3" max="3" width="18.28515625" style="1" bestFit="1" customWidth="1"/>
    <col min="4" max="4" width="8.42578125" style="3" customWidth="1"/>
    <col min="5" max="5" width="8.7109375" style="4" bestFit="1" customWidth="1"/>
    <col min="6" max="6" width="10.7109375" style="1" bestFit="1" customWidth="1"/>
    <col min="7" max="7" width="13.85546875" style="4" bestFit="1" customWidth="1"/>
    <col min="8" max="8" width="12.5703125" style="1" bestFit="1" customWidth="1"/>
    <col min="9" max="9" width="14.85546875" style="6" bestFit="1" customWidth="1"/>
    <col min="10" max="10" width="9.28515625" style="6" bestFit="1" customWidth="1"/>
    <col min="11" max="11" width="9.28515625" style="6" customWidth="1"/>
    <col min="12" max="12" width="17" style="1" bestFit="1" customWidth="1"/>
    <col min="13" max="13" width="21.7109375" style="1" bestFit="1" customWidth="1"/>
    <col min="14" max="14" width="11" style="5" bestFit="1" customWidth="1"/>
    <col min="15" max="15" width="6.28515625" style="1" bestFit="1" customWidth="1"/>
    <col min="16" max="16" width="8.28515625" style="2" hidden="1" customWidth="1"/>
    <col min="17" max="17" width="20.140625" style="2" hidden="1" customWidth="1"/>
    <col min="18" max="16384" width="11.5703125" style="2"/>
  </cols>
  <sheetData>
    <row r="1" spans="2:17" ht="39.6" customHeight="1" thickBot="1">
      <c r="B1" s="307" t="s">
        <v>39</v>
      </c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</row>
    <row r="2" spans="2:17" s="1" customFormat="1" ht="15.75" thickTop="1">
      <c r="B2" s="8" t="s">
        <v>0</v>
      </c>
      <c r="C2" s="8" t="s">
        <v>8</v>
      </c>
      <c r="D2" s="22" t="s">
        <v>1</v>
      </c>
      <c r="E2" s="9" t="s">
        <v>2</v>
      </c>
      <c r="F2" s="8" t="s">
        <v>26</v>
      </c>
      <c r="G2" s="9" t="s">
        <v>3</v>
      </c>
      <c r="H2" s="8" t="s">
        <v>4</v>
      </c>
      <c r="I2" s="10" t="s">
        <v>24</v>
      </c>
      <c r="J2" s="8" t="s">
        <v>38</v>
      </c>
      <c r="K2" s="8" t="s">
        <v>44</v>
      </c>
      <c r="L2" s="8" t="s">
        <v>5</v>
      </c>
      <c r="M2" s="8" t="s">
        <v>30</v>
      </c>
      <c r="N2" s="11" t="s">
        <v>6</v>
      </c>
      <c r="O2" s="8" t="s">
        <v>7</v>
      </c>
      <c r="Q2" s="1" t="s">
        <v>29</v>
      </c>
    </row>
    <row r="3" spans="2:17" s="26" customFormat="1">
      <c r="B3" s="26" t="s">
        <v>11</v>
      </c>
      <c r="C3" s="27" t="s">
        <v>13</v>
      </c>
      <c r="D3" s="28">
        <v>8.9499999999999996E-2</v>
      </c>
      <c r="E3" s="29">
        <v>70</v>
      </c>
      <c r="F3" s="27" t="s">
        <v>28</v>
      </c>
      <c r="G3" s="29">
        <v>1000000</v>
      </c>
      <c r="H3" s="29">
        <f t="shared" ref="H3:H9" si="0">E3*G3</f>
        <v>70000000</v>
      </c>
      <c r="I3" s="30">
        <v>1.0167360000000001</v>
      </c>
      <c r="J3" s="31">
        <v>0</v>
      </c>
      <c r="K3" s="31"/>
      <c r="L3" s="27" t="s">
        <v>22</v>
      </c>
      <c r="M3" s="27">
        <f t="shared" ref="M3:M16" ca="1" si="1">$P$4-Q3</f>
        <v>585</v>
      </c>
      <c r="N3" s="32">
        <v>47218</v>
      </c>
      <c r="O3" s="27" t="s">
        <v>18</v>
      </c>
      <c r="P3" s="27"/>
      <c r="Q3" s="33">
        <v>45723</v>
      </c>
    </row>
    <row r="4" spans="2:17" s="26" customFormat="1">
      <c r="B4" s="26" t="s">
        <v>12</v>
      </c>
      <c r="C4" s="27" t="s">
        <v>14</v>
      </c>
      <c r="D4" s="28">
        <v>7.6999999999999999E-2</v>
      </c>
      <c r="E4" s="29">
        <v>0</v>
      </c>
      <c r="F4" s="27" t="s">
        <v>27</v>
      </c>
      <c r="G4" s="29">
        <v>1000000</v>
      </c>
      <c r="H4" s="29">
        <f t="shared" si="0"/>
        <v>0</v>
      </c>
      <c r="I4" s="30">
        <v>1.0195559999999999</v>
      </c>
      <c r="J4" s="31">
        <v>136</v>
      </c>
      <c r="K4" s="31"/>
      <c r="L4" s="27" t="s">
        <v>22</v>
      </c>
      <c r="M4" s="27">
        <f t="shared" ca="1" si="1"/>
        <v>585</v>
      </c>
      <c r="N4" s="32">
        <v>46751</v>
      </c>
      <c r="O4" s="27" t="s">
        <v>20</v>
      </c>
      <c r="P4" s="33">
        <f ca="1">TODAY()</f>
        <v>46308</v>
      </c>
      <c r="Q4" s="33">
        <v>45723</v>
      </c>
    </row>
    <row r="5" spans="2:17" s="26" customFormat="1">
      <c r="B5" s="26" t="s">
        <v>10</v>
      </c>
      <c r="C5" s="27" t="s">
        <v>15</v>
      </c>
      <c r="D5" s="28">
        <v>7.9500000000000001E-2</v>
      </c>
      <c r="E5" s="29">
        <v>0</v>
      </c>
      <c r="F5" s="27" t="s">
        <v>27</v>
      </c>
      <c r="G5" s="29">
        <v>1000000</v>
      </c>
      <c r="H5" s="29">
        <f t="shared" si="0"/>
        <v>0</v>
      </c>
      <c r="I5" s="30">
        <v>1.006122</v>
      </c>
      <c r="J5" s="31">
        <v>200</v>
      </c>
      <c r="K5" s="31"/>
      <c r="L5" s="27" t="s">
        <v>23</v>
      </c>
      <c r="M5" s="27">
        <f t="shared" ca="1" si="1"/>
        <v>560</v>
      </c>
      <c r="N5" s="32">
        <v>46818</v>
      </c>
      <c r="O5" s="27" t="s">
        <v>19</v>
      </c>
      <c r="Q5" s="33">
        <v>45748</v>
      </c>
    </row>
    <row r="6" spans="2:17" s="26" customFormat="1">
      <c r="B6" s="26" t="s">
        <v>12</v>
      </c>
      <c r="C6" s="27" t="s">
        <v>16</v>
      </c>
      <c r="D6" s="28">
        <v>8.2500000000000004E-2</v>
      </c>
      <c r="E6" s="29">
        <v>40</v>
      </c>
      <c r="F6" s="27" t="s">
        <v>28</v>
      </c>
      <c r="G6" s="29">
        <v>1000000</v>
      </c>
      <c r="H6" s="29">
        <f t="shared" si="0"/>
        <v>40000000</v>
      </c>
      <c r="I6" s="30">
        <v>0.96403799999999995</v>
      </c>
      <c r="J6" s="31">
        <v>160</v>
      </c>
      <c r="K6" s="31"/>
      <c r="L6" s="27" t="s">
        <v>22</v>
      </c>
      <c r="M6" s="27">
        <f t="shared" ca="1" si="1"/>
        <v>554</v>
      </c>
      <c r="N6" s="32">
        <v>48121</v>
      </c>
      <c r="O6" s="27" t="s">
        <v>20</v>
      </c>
      <c r="Q6" s="33">
        <v>45754</v>
      </c>
    </row>
    <row r="7" spans="2:17" s="26" customFormat="1">
      <c r="B7" s="26" t="s">
        <v>9</v>
      </c>
      <c r="C7" s="27" t="s">
        <v>25</v>
      </c>
      <c r="D7" s="28">
        <v>8.8499999999999995E-2</v>
      </c>
      <c r="E7" s="29">
        <v>874</v>
      </c>
      <c r="F7" s="27" t="s">
        <v>27</v>
      </c>
      <c r="G7" s="29">
        <v>1000000</v>
      </c>
      <c r="H7" s="29">
        <f t="shared" si="0"/>
        <v>874000000</v>
      </c>
      <c r="I7" s="30">
        <v>1.006872</v>
      </c>
      <c r="J7" s="31">
        <v>0</v>
      </c>
      <c r="K7" s="31"/>
      <c r="L7" s="27" t="s">
        <v>23</v>
      </c>
      <c r="M7" s="27">
        <f t="shared" ca="1" si="1"/>
        <v>510</v>
      </c>
      <c r="N7" s="32">
        <v>46875</v>
      </c>
      <c r="O7" s="27" t="s">
        <v>17</v>
      </c>
      <c r="Q7" s="33">
        <v>45798</v>
      </c>
    </row>
    <row r="8" spans="2:17" s="26" customFormat="1">
      <c r="B8" s="26" t="s">
        <v>12</v>
      </c>
      <c r="C8" s="27" t="s">
        <v>31</v>
      </c>
      <c r="D8" s="28">
        <v>8.8999999999999996E-2</v>
      </c>
      <c r="E8" s="29">
        <v>150</v>
      </c>
      <c r="F8" s="27" t="s">
        <v>28</v>
      </c>
      <c r="G8" s="29">
        <v>1000000</v>
      </c>
      <c r="H8" s="29">
        <f t="shared" si="0"/>
        <v>150000000</v>
      </c>
      <c r="I8" s="30">
        <v>1</v>
      </c>
      <c r="J8" s="31">
        <v>800</v>
      </c>
      <c r="K8" s="31"/>
      <c r="L8" s="27" t="s">
        <v>22</v>
      </c>
      <c r="M8" s="27">
        <f t="shared" ca="1" si="1"/>
        <v>470</v>
      </c>
      <c r="N8" s="32">
        <v>48029</v>
      </c>
      <c r="O8" s="27" t="s">
        <v>20</v>
      </c>
      <c r="Q8" s="33">
        <v>45838</v>
      </c>
    </row>
    <row r="9" spans="2:17" ht="12.75">
      <c r="B9" s="12" t="s">
        <v>37</v>
      </c>
      <c r="C9" s="13" t="s">
        <v>32</v>
      </c>
      <c r="D9" s="23">
        <v>0.105</v>
      </c>
      <c r="E9" s="14">
        <v>195</v>
      </c>
      <c r="F9" s="13" t="s">
        <v>28</v>
      </c>
      <c r="G9" s="14">
        <v>1000000</v>
      </c>
      <c r="H9" s="15">
        <f t="shared" si="0"/>
        <v>195000000</v>
      </c>
      <c r="I9" s="16">
        <v>1</v>
      </c>
      <c r="J9" s="18">
        <v>0</v>
      </c>
      <c r="K9" s="18"/>
      <c r="L9" s="13" t="s">
        <v>23</v>
      </c>
      <c r="M9" s="13">
        <f t="shared" ca="1" si="1"/>
        <v>431</v>
      </c>
      <c r="N9" s="17">
        <v>46419</v>
      </c>
      <c r="O9" s="13" t="s">
        <v>18</v>
      </c>
      <c r="Q9" s="7">
        <v>45877</v>
      </c>
    </row>
    <row r="10" spans="2:17" ht="12.75">
      <c r="B10" s="12" t="s">
        <v>33</v>
      </c>
      <c r="C10" s="13" t="s">
        <v>34</v>
      </c>
      <c r="D10" s="23">
        <v>9.9500000000000005E-2</v>
      </c>
      <c r="E10" s="14">
        <v>20</v>
      </c>
      <c r="F10" s="13" t="s">
        <v>27</v>
      </c>
      <c r="G10" s="14">
        <v>1000000</v>
      </c>
      <c r="H10" s="15">
        <f t="shared" ref="H10:H16" si="2">E10*G10</f>
        <v>20000000</v>
      </c>
      <c r="I10" s="16">
        <v>1</v>
      </c>
      <c r="J10" s="18">
        <v>0</v>
      </c>
      <c r="K10" s="18"/>
      <c r="L10" s="13" t="s">
        <v>23</v>
      </c>
      <c r="M10" s="13">
        <f t="shared" ca="1" si="1"/>
        <v>421</v>
      </c>
      <c r="N10" s="17">
        <v>46959</v>
      </c>
      <c r="O10" s="13" t="s">
        <v>35</v>
      </c>
      <c r="Q10" s="7">
        <v>45887</v>
      </c>
    </row>
    <row r="11" spans="2:17" ht="12.75">
      <c r="B11" s="12" t="s">
        <v>37</v>
      </c>
      <c r="C11" s="13" t="s">
        <v>40</v>
      </c>
      <c r="D11" s="23">
        <v>0.105</v>
      </c>
      <c r="E11" s="14">
        <v>300</v>
      </c>
      <c r="F11" s="13" t="s">
        <v>27</v>
      </c>
      <c r="G11" s="14">
        <v>1000000</v>
      </c>
      <c r="H11" s="15">
        <f t="shared" si="2"/>
        <v>300000000</v>
      </c>
      <c r="I11" s="16">
        <v>1</v>
      </c>
      <c r="J11" s="18">
        <v>0</v>
      </c>
      <c r="K11" s="18">
        <v>0</v>
      </c>
      <c r="L11" s="13" t="s">
        <v>23</v>
      </c>
      <c r="M11" s="13">
        <f t="shared" ca="1" si="1"/>
        <v>418</v>
      </c>
      <c r="N11" s="17">
        <v>46448</v>
      </c>
      <c r="O11" s="13" t="s">
        <v>18</v>
      </c>
      <c r="Q11" s="7">
        <v>45890</v>
      </c>
    </row>
    <row r="12" spans="2:17" ht="12.75">
      <c r="B12" s="12" t="s">
        <v>33</v>
      </c>
      <c r="C12" s="13" t="s">
        <v>36</v>
      </c>
      <c r="D12" s="23">
        <v>0.1</v>
      </c>
      <c r="E12" s="14">
        <v>2</v>
      </c>
      <c r="F12" s="13" t="s">
        <v>27</v>
      </c>
      <c r="G12" s="14">
        <v>100000000</v>
      </c>
      <c r="H12" s="15">
        <f t="shared" si="2"/>
        <v>200000000</v>
      </c>
      <c r="I12" s="16">
        <v>1.0026870000000001</v>
      </c>
      <c r="J12" s="18"/>
      <c r="K12" s="18"/>
      <c r="L12" s="13" t="s">
        <v>21</v>
      </c>
      <c r="M12" s="13">
        <f t="shared" ca="1" si="1"/>
        <v>418</v>
      </c>
      <c r="N12" s="17">
        <v>46610</v>
      </c>
      <c r="O12" s="13" t="s">
        <v>35</v>
      </c>
      <c r="Q12" s="7">
        <v>45890</v>
      </c>
    </row>
    <row r="13" spans="2:17" ht="12.75">
      <c r="B13" s="12" t="s">
        <v>45</v>
      </c>
      <c r="C13" s="13" t="s">
        <v>46</v>
      </c>
      <c r="D13" s="23">
        <v>9.5500000000000002E-2</v>
      </c>
      <c r="E13" s="14">
        <v>548</v>
      </c>
      <c r="F13" s="13" t="s">
        <v>48</v>
      </c>
      <c r="G13" s="14">
        <v>1000000</v>
      </c>
      <c r="H13" s="15">
        <f t="shared" si="2"/>
        <v>548000000</v>
      </c>
      <c r="I13" s="16">
        <v>1</v>
      </c>
      <c r="J13" s="18"/>
      <c r="K13" s="18">
        <v>548</v>
      </c>
      <c r="L13" s="13" t="s">
        <v>47</v>
      </c>
      <c r="M13" s="13">
        <f t="shared" ca="1" si="1"/>
        <v>383</v>
      </c>
      <c r="N13" s="17">
        <v>47655</v>
      </c>
      <c r="O13" s="13" t="s">
        <v>20</v>
      </c>
      <c r="Q13" s="7">
        <v>45925</v>
      </c>
    </row>
    <row r="14" spans="2:17" ht="12.75">
      <c r="B14" s="12" t="s">
        <v>49</v>
      </c>
      <c r="C14" s="13" t="s">
        <v>50</v>
      </c>
      <c r="D14" s="23">
        <v>0.105</v>
      </c>
      <c r="E14" s="14">
        <v>30</v>
      </c>
      <c r="F14" s="13" t="s">
        <v>27</v>
      </c>
      <c r="G14" s="14">
        <v>1000000</v>
      </c>
      <c r="H14" s="15">
        <f t="shared" si="2"/>
        <v>30000000</v>
      </c>
      <c r="I14" s="16">
        <v>1</v>
      </c>
      <c r="J14" s="18">
        <v>0</v>
      </c>
      <c r="K14" s="18">
        <v>0</v>
      </c>
      <c r="L14" s="13" t="s">
        <v>23</v>
      </c>
      <c r="M14" s="13">
        <f t="shared" ca="1" si="1"/>
        <v>390</v>
      </c>
      <c r="N14" s="17">
        <v>46463</v>
      </c>
      <c r="O14" s="13" t="s">
        <v>20</v>
      </c>
      <c r="Q14" s="7">
        <v>45918</v>
      </c>
    </row>
    <row r="15" spans="2:17" ht="12.75">
      <c r="B15" s="12" t="s">
        <v>51</v>
      </c>
      <c r="C15" s="13" t="s">
        <v>52</v>
      </c>
      <c r="D15" s="23">
        <v>0.1075</v>
      </c>
      <c r="E15" s="14">
        <v>220</v>
      </c>
      <c r="F15" s="13" t="s">
        <v>28</v>
      </c>
      <c r="G15" s="14">
        <v>1000000</v>
      </c>
      <c r="H15" s="15">
        <f t="shared" si="2"/>
        <v>220000000</v>
      </c>
      <c r="I15" s="16">
        <v>1</v>
      </c>
      <c r="J15" s="18">
        <v>0</v>
      </c>
      <c r="K15" s="18">
        <v>0</v>
      </c>
      <c r="L15" s="13" t="s">
        <v>23</v>
      </c>
      <c r="M15" s="13">
        <f t="shared" ca="1" si="1"/>
        <v>390</v>
      </c>
      <c r="N15" s="17">
        <v>46469</v>
      </c>
      <c r="O15" s="13" t="s">
        <v>19</v>
      </c>
      <c r="Q15" s="7">
        <v>45918</v>
      </c>
    </row>
    <row r="16" spans="2:17" ht="12.75">
      <c r="B16" s="12" t="s">
        <v>53</v>
      </c>
      <c r="C16" s="13" t="s">
        <v>54</v>
      </c>
      <c r="D16" s="23">
        <v>0.2024</v>
      </c>
      <c r="E16" s="14">
        <v>1</v>
      </c>
      <c r="F16" s="13" t="s">
        <v>28</v>
      </c>
      <c r="G16" s="14">
        <v>10000000</v>
      </c>
      <c r="H16" s="15">
        <f t="shared" si="2"/>
        <v>10000000</v>
      </c>
      <c r="I16" s="16">
        <v>0.99404999999999999</v>
      </c>
      <c r="J16" s="18">
        <v>0</v>
      </c>
      <c r="K16" s="18">
        <v>0</v>
      </c>
      <c r="L16" s="13" t="s">
        <v>21</v>
      </c>
      <c r="M16" s="13">
        <f t="shared" ca="1" si="1"/>
        <v>390</v>
      </c>
      <c r="N16" s="17">
        <v>46139</v>
      </c>
      <c r="O16" s="13" t="s">
        <v>18</v>
      </c>
      <c r="Q16" s="7">
        <v>45918</v>
      </c>
    </row>
    <row r="17" spans="2:16" ht="12">
      <c r="B17" s="4"/>
      <c r="C17" s="4"/>
      <c r="D17" s="4"/>
      <c r="F17" s="4"/>
      <c r="H17" s="4"/>
      <c r="I17" s="4"/>
      <c r="J17" s="4"/>
      <c r="K17" s="4"/>
      <c r="L17" s="4"/>
    </row>
    <row r="18" spans="2:16" s="4" customFormat="1">
      <c r="B18" s="24" t="s">
        <v>43</v>
      </c>
      <c r="C18" s="25">
        <f>SUM(H3:H16)</f>
        <v>2657000000</v>
      </c>
      <c r="P18" s="2"/>
    </row>
    <row r="19" spans="2:16" s="4" customFormat="1" ht="12"/>
    <row r="20" spans="2:16" s="4" customFormat="1">
      <c r="B20" s="308" t="s">
        <v>41</v>
      </c>
      <c r="C20" s="309"/>
    </row>
    <row r="21" spans="2:16" s="4" customFormat="1" ht="12.75">
      <c r="B21" s="20" t="s">
        <v>2</v>
      </c>
      <c r="C21" s="20" t="s">
        <v>42</v>
      </c>
    </row>
    <row r="22" spans="2:16">
      <c r="B22" s="19">
        <f>SUM(J3:J16)</f>
        <v>1296</v>
      </c>
      <c r="C22" s="21">
        <f>B22*1000000</f>
        <v>1296000000</v>
      </c>
    </row>
    <row r="23" spans="2:16">
      <c r="C23" s="2"/>
    </row>
    <row r="24" spans="2:16">
      <c r="C24" s="2"/>
    </row>
  </sheetData>
  <mergeCells count="2">
    <mergeCell ref="B1:O1"/>
    <mergeCell ref="B20:C20"/>
  </mergeCells>
  <pageMargins left="0.7" right="0.7" top="0.75" bottom="0.75" header="0.3" footer="0.3"/>
  <pageSetup paperSize="30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9"/>
  <sheetViews>
    <sheetView showGridLines="0" tabSelected="1" topLeftCell="D22" zoomScaleNormal="100" workbookViewId="0">
      <selection activeCell="G42" sqref="G42"/>
    </sheetView>
  </sheetViews>
  <sheetFormatPr baseColWidth="10" defaultColWidth="11.5703125" defaultRowHeight="15"/>
  <cols>
    <col min="1" max="1" width="1.85546875" style="107" customWidth="1"/>
    <col min="2" max="2" width="37" style="2" customWidth="1"/>
    <col min="3" max="3" width="22.85546875" style="2" customWidth="1"/>
    <col min="4" max="4" width="11.140625" style="2" bestFit="1" customWidth="1"/>
    <col min="5" max="5" width="16.140625" style="1" customWidth="1"/>
    <col min="6" max="6" width="16.28515625" style="2" customWidth="1"/>
    <col min="7" max="7" width="25.85546875" style="2" customWidth="1"/>
    <col min="8" max="8" width="23.7109375" style="1" bestFit="1" customWidth="1"/>
    <col min="9" max="9" width="17.7109375" style="3" hidden="1" customWidth="1"/>
    <col min="10" max="10" width="13.28515625" style="3" bestFit="1" customWidth="1"/>
    <col min="11" max="11" width="11.5703125" style="4" customWidth="1"/>
    <col min="12" max="12" width="12.5703125" style="1" hidden="1" customWidth="1"/>
    <col min="13" max="13" width="22.42578125" style="1" customWidth="1"/>
    <col min="14" max="14" width="9.28515625" style="4" customWidth="1"/>
    <col min="15" max="15" width="18.5703125" style="1" customWidth="1"/>
    <col min="16" max="16" width="21.5703125" style="1" customWidth="1"/>
    <col min="17" max="17" width="37.140625" style="6" bestFit="1" customWidth="1"/>
    <col min="18" max="18" width="25" style="6" customWidth="1"/>
    <col min="19" max="19" width="11" style="6" customWidth="1"/>
    <col min="20" max="20" width="16" style="5" bestFit="1" customWidth="1"/>
    <col min="21" max="21" width="14.5703125" style="1" bestFit="1" customWidth="1"/>
    <col min="22" max="22" width="18.7109375" style="2" customWidth="1"/>
    <col min="23" max="23" width="19.140625" style="2" customWidth="1"/>
    <col min="24" max="24" width="16.7109375" style="2" customWidth="1"/>
    <col min="25" max="25" width="18.85546875" style="2" bestFit="1" customWidth="1"/>
    <col min="26" max="16384" width="11.5703125" style="105"/>
  </cols>
  <sheetData>
    <row r="1" spans="1:25" s="2" customFormat="1" ht="53.25" customHeight="1" thickBot="1">
      <c r="A1" s="107"/>
      <c r="B1" s="310" t="s">
        <v>39</v>
      </c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</row>
    <row r="2" spans="1:25" s="71" customFormat="1" ht="52.5" customHeight="1" thickTop="1">
      <c r="A2" s="108"/>
      <c r="B2" s="66" t="s">
        <v>219</v>
      </c>
      <c r="C2" s="66" t="s">
        <v>94</v>
      </c>
      <c r="D2" s="66" t="s">
        <v>206</v>
      </c>
      <c r="E2" s="66" t="s">
        <v>157</v>
      </c>
      <c r="F2" s="66" t="s">
        <v>158</v>
      </c>
      <c r="G2" s="66" t="s">
        <v>159</v>
      </c>
      <c r="H2" s="37" t="s">
        <v>8</v>
      </c>
      <c r="I2" s="78" t="s">
        <v>174</v>
      </c>
      <c r="J2" s="67" t="s">
        <v>1</v>
      </c>
      <c r="K2" s="67" t="s">
        <v>55</v>
      </c>
      <c r="L2" s="68" t="s">
        <v>2</v>
      </c>
      <c r="M2" s="37" t="s">
        <v>26</v>
      </c>
      <c r="N2" s="37" t="s">
        <v>93</v>
      </c>
      <c r="O2" s="68" t="s">
        <v>3</v>
      </c>
      <c r="P2" s="37" t="s">
        <v>4</v>
      </c>
      <c r="Q2" s="69" t="s">
        <v>24</v>
      </c>
      <c r="R2" s="69" t="s">
        <v>79</v>
      </c>
      <c r="S2" s="37" t="s">
        <v>38</v>
      </c>
      <c r="T2" s="37" t="s">
        <v>44</v>
      </c>
      <c r="U2" s="70" t="s">
        <v>6</v>
      </c>
      <c r="V2" s="37" t="s">
        <v>7</v>
      </c>
      <c r="W2" s="37" t="s">
        <v>74</v>
      </c>
      <c r="X2" s="37" t="s">
        <v>75</v>
      </c>
      <c r="Y2" s="37" t="s">
        <v>78</v>
      </c>
    </row>
    <row r="3" spans="1:25" s="2" customFormat="1" ht="15" customHeight="1">
      <c r="A3" s="107"/>
      <c r="B3" s="110" t="s">
        <v>171</v>
      </c>
      <c r="C3" s="110" t="s">
        <v>21</v>
      </c>
      <c r="D3" s="311">
        <f ca="1">Tabla14[[#This Row],[Vencimiento]]-TODAY()</f>
        <v>48</v>
      </c>
      <c r="E3" s="65">
        <v>46288</v>
      </c>
      <c r="F3" s="83">
        <f ca="1">+TODAY()-Tabla14[[#This Row],[FECHA DE COMPRA]]</f>
        <v>20</v>
      </c>
      <c r="G3" s="84">
        <f ca="1">+Tabla14[[#This Row],[Valor Nominal]]*Tabla14[[#This Row],[DIAS EN CARTERA]]*Tabla14[[#This Row],[TNA Remarcada]]/365</f>
        <v>1087123.2876712328</v>
      </c>
      <c r="H3" s="57" t="s">
        <v>216</v>
      </c>
      <c r="I3" s="86">
        <f ca="1">+Tabla14[[#This Row],[Vencimiento]]-TODAY()</f>
        <v>48</v>
      </c>
      <c r="J3" s="88">
        <v>7.8E-2</v>
      </c>
      <c r="K3" s="88">
        <v>9.9199999999999997E-2</v>
      </c>
      <c r="L3" s="89"/>
      <c r="M3" s="85" t="s">
        <v>27</v>
      </c>
      <c r="N3" s="77" t="s">
        <v>179</v>
      </c>
      <c r="O3" s="90">
        <v>200000000</v>
      </c>
      <c r="P3" s="187">
        <v>200000000</v>
      </c>
      <c r="Q3" s="187">
        <v>200000025</v>
      </c>
      <c r="R3" s="90">
        <f>+Tabla14[[#This Row],[Precio de Compra]]</f>
        <v>200000025</v>
      </c>
      <c r="S3" s="221"/>
      <c r="T3" s="221"/>
      <c r="U3" s="63">
        <v>46356</v>
      </c>
      <c r="V3" s="100" t="s">
        <v>77</v>
      </c>
      <c r="W3" s="104">
        <f>Tabla14[[#This Row],[Valor Moneda Local]]/$R$40</f>
        <v>2.5920100465674764E-2</v>
      </c>
      <c r="X3" s="140">
        <f>Tabla14[[#This Row],[PESO DE CADA INVERSIÓN / TOTAL]]*Tabla14[[#This Row],[TNA Remarcada]]</f>
        <v>2.5712739661949363E-3</v>
      </c>
      <c r="Y3" s="201"/>
    </row>
    <row r="4" spans="1:25" s="2" customFormat="1" ht="15" customHeight="1">
      <c r="A4" s="107"/>
      <c r="B4" s="110" t="s">
        <v>171</v>
      </c>
      <c r="C4" s="110" t="s">
        <v>21</v>
      </c>
      <c r="D4" s="312">
        <f ca="1">Tabla14[[#This Row],[Vencimiento]]-TODAY()</f>
        <v>121</v>
      </c>
      <c r="E4" s="65">
        <v>46288</v>
      </c>
      <c r="F4" s="83">
        <f ca="1">+TODAY()-Tabla14[[#This Row],[FECHA DE COMPRA]]</f>
        <v>20</v>
      </c>
      <c r="G4" s="84">
        <f ca="1">+Tabla14[[#This Row],[Valor Nominal]]*Tabla14[[#This Row],[DIAS EN CARTERA]]*Tabla14[[#This Row],[TNA Remarcada]]/365</f>
        <v>1401369.8630136987</v>
      </c>
      <c r="H4" s="57" t="s">
        <v>217</v>
      </c>
      <c r="I4" s="86">
        <f ca="1">+Tabla14[[#This Row],[Vencimiento]]-TODAY()</f>
        <v>121</v>
      </c>
      <c r="J4" s="88">
        <v>8.2000000000000003E-2</v>
      </c>
      <c r="K4" s="88">
        <v>0.1023</v>
      </c>
      <c r="L4" s="89"/>
      <c r="M4" s="85" t="s">
        <v>27</v>
      </c>
      <c r="N4" s="77" t="s">
        <v>179</v>
      </c>
      <c r="O4" s="90">
        <v>250000000</v>
      </c>
      <c r="P4" s="187">
        <v>250000000</v>
      </c>
      <c r="Q4" s="187">
        <v>250004136</v>
      </c>
      <c r="R4" s="90">
        <f>+Tabla14[[#This Row],[Precio de Compra]]</f>
        <v>250004136</v>
      </c>
      <c r="S4" s="221"/>
      <c r="T4" s="221"/>
      <c r="U4" s="63">
        <v>46429</v>
      </c>
      <c r="V4" s="100" t="s">
        <v>77</v>
      </c>
      <c r="W4" s="104">
        <f>Tabla14[[#This Row],[Valor Moneda Local]]/$R$40</f>
        <v>3.2400657559688892E-2</v>
      </c>
      <c r="X4" s="140">
        <f>Tabla14[[#This Row],[PESO DE CADA INVERSIÓN / TOTAL]]*Tabla14[[#This Row],[TNA Remarcada]]</f>
        <v>3.3145872683561736E-3</v>
      </c>
      <c r="Y4" s="201"/>
    </row>
    <row r="5" spans="1:25" s="2" customFormat="1" ht="15" customHeight="1">
      <c r="A5" s="107"/>
      <c r="B5" s="110" t="s">
        <v>171</v>
      </c>
      <c r="C5" s="110" t="s">
        <v>21</v>
      </c>
      <c r="D5" s="312">
        <f ca="1">Tabla14[[#This Row],[Vencimiento]]-TODAY()</f>
        <v>121</v>
      </c>
      <c r="E5" s="65">
        <v>46288</v>
      </c>
      <c r="F5" s="83">
        <f ca="1">+TODAY()-Tabla14[[#This Row],[FECHA DE COMPRA]]</f>
        <v>20</v>
      </c>
      <c r="G5" s="84">
        <f ca="1">+Tabla14[[#This Row],[Valor Nominal]]*Tabla14[[#This Row],[DIAS EN CARTERA]]*Tabla14[[#This Row],[TNA Remarcada]]/365</f>
        <v>1401369.8630136987</v>
      </c>
      <c r="H5" s="57" t="s">
        <v>218</v>
      </c>
      <c r="I5" s="86">
        <f ca="1">+Tabla14[[#This Row],[Vencimiento]]-TODAY()</f>
        <v>121</v>
      </c>
      <c r="J5" s="88">
        <v>8.2000000000000003E-2</v>
      </c>
      <c r="K5" s="88">
        <v>0.1023</v>
      </c>
      <c r="L5" s="89"/>
      <c r="M5" s="85" t="s">
        <v>27</v>
      </c>
      <c r="N5" s="77" t="s">
        <v>179</v>
      </c>
      <c r="O5" s="90">
        <v>250000000</v>
      </c>
      <c r="P5" s="187">
        <v>250000000</v>
      </c>
      <c r="Q5" s="187">
        <v>250004136</v>
      </c>
      <c r="R5" s="90">
        <f>+Tabla14[[#This Row],[Precio de Compra]]</f>
        <v>250004136</v>
      </c>
      <c r="S5" s="221"/>
      <c r="T5" s="221"/>
      <c r="U5" s="63">
        <v>46429</v>
      </c>
      <c r="V5" s="100" t="s">
        <v>77</v>
      </c>
      <c r="W5" s="104">
        <f>Tabla14[[#This Row],[Valor Moneda Local]]/$R$40</f>
        <v>3.2400657559688892E-2</v>
      </c>
      <c r="X5" s="140">
        <f>Tabla14[[#This Row],[PESO DE CADA INVERSIÓN / TOTAL]]*Tabla14[[#This Row],[TNA Remarcada]]</f>
        <v>3.3145872683561736E-3</v>
      </c>
      <c r="Y5" s="201"/>
    </row>
    <row r="6" spans="1:25" s="2" customFormat="1" ht="15" customHeight="1">
      <c r="A6" s="107"/>
      <c r="B6" s="111" t="s">
        <v>208</v>
      </c>
      <c r="C6" s="111" t="s">
        <v>21</v>
      </c>
      <c r="D6" s="313">
        <f ca="1">Tabla14[[#This Row],[Vencimiento]]-TODAY()</f>
        <v>113</v>
      </c>
      <c r="E6" s="103">
        <v>46283</v>
      </c>
      <c r="F6" s="215">
        <f ca="1">+TODAY()-Tabla14[[#This Row],[FECHA DE COMPRA]]</f>
        <v>25</v>
      </c>
      <c r="G6" s="216">
        <f ca="1">+Tabla14[[#This Row],[Valor Nominal]]*Tabla14[[#This Row],[DIAS EN CARTERA]]*Tabla14[[#This Row],[TNA Remarcada]]/365</f>
        <v>658611.09383561648</v>
      </c>
      <c r="H6" s="13" t="s">
        <v>209</v>
      </c>
      <c r="I6" s="217">
        <f ca="1">+Tabla14[[#This Row],[Vencimiento]]-TODAY()</f>
        <v>113</v>
      </c>
      <c r="J6" s="219">
        <v>0.11</v>
      </c>
      <c r="K6" s="219">
        <v>9.5000000000000001E-2</v>
      </c>
      <c r="L6" s="149"/>
      <c r="M6" s="81" t="s">
        <v>28</v>
      </c>
      <c r="N6" s="77" t="s">
        <v>179</v>
      </c>
      <c r="O6" s="165">
        <v>100000000</v>
      </c>
      <c r="P6" s="165">
        <v>101218126</v>
      </c>
      <c r="Q6" s="220">
        <f>+Tabla14[[#This Row],[Valor Nominal]]</f>
        <v>101218126</v>
      </c>
      <c r="R6" s="150">
        <f>+Tabla14[[#This Row],[Precio de Compra]]</f>
        <v>101218126</v>
      </c>
      <c r="S6" s="221"/>
      <c r="T6" s="221"/>
      <c r="U6" s="17">
        <v>46421</v>
      </c>
      <c r="V6" s="94" t="s">
        <v>77</v>
      </c>
      <c r="W6" s="104">
        <f>Tabla14[[#This Row],[Valor Moneda Local]]/$R$40</f>
        <v>1.3117918334596843E-2</v>
      </c>
      <c r="X6" s="95">
        <f>Tabla14[[#This Row],[PESO DE CADA INVERSIÓN / TOTAL]]*Tabla14[[#This Row],[TNA Remarcada]]</f>
        <v>1.2462022417867001E-3</v>
      </c>
      <c r="Y6" s="201"/>
    </row>
    <row r="7" spans="1:25" s="2" customFormat="1" ht="15" customHeight="1">
      <c r="A7" s="107"/>
      <c r="B7" s="111" t="s">
        <v>208</v>
      </c>
      <c r="C7" s="111" t="s">
        <v>21</v>
      </c>
      <c r="D7" s="313">
        <f ca="1">Tabla14[[#This Row],[Vencimiento]]-TODAY()</f>
        <v>113</v>
      </c>
      <c r="E7" s="103">
        <v>46283</v>
      </c>
      <c r="F7" s="215">
        <f ca="1">+TODAY()-Tabla14[[#This Row],[FECHA DE COMPRA]]</f>
        <v>25</v>
      </c>
      <c r="G7" s="216">
        <f ca="1">+Tabla14[[#This Row],[Valor Nominal]]*Tabla14[[#This Row],[DIAS EN CARTERA]]*Tabla14[[#This Row],[TNA Remarcada]]/365</f>
        <v>658611.09383561648</v>
      </c>
      <c r="H7" s="13" t="s">
        <v>210</v>
      </c>
      <c r="I7" s="217">
        <f ca="1">+Tabla14[[#This Row],[Vencimiento]]-TODAY()</f>
        <v>113</v>
      </c>
      <c r="J7" s="219">
        <v>0.11</v>
      </c>
      <c r="K7" s="219">
        <v>9.5000000000000001E-2</v>
      </c>
      <c r="L7" s="149"/>
      <c r="M7" s="81" t="s">
        <v>28</v>
      </c>
      <c r="N7" s="77" t="s">
        <v>179</v>
      </c>
      <c r="O7" s="165">
        <v>100000000</v>
      </c>
      <c r="P7" s="165">
        <v>101218126</v>
      </c>
      <c r="Q7" s="220">
        <f>+Tabla14[[#This Row],[Valor Nominal]]</f>
        <v>101218126</v>
      </c>
      <c r="R7" s="150">
        <f>+Tabla14[[#This Row],[Precio de Compra]]</f>
        <v>101218126</v>
      </c>
      <c r="S7" s="221"/>
      <c r="T7" s="221"/>
      <c r="U7" s="17">
        <v>46421</v>
      </c>
      <c r="V7" s="94" t="s">
        <v>77</v>
      </c>
      <c r="W7" s="104">
        <f>Tabla14[[#This Row],[Valor Moneda Local]]/$R$40</f>
        <v>1.3117918334596843E-2</v>
      </c>
      <c r="X7" s="95">
        <f>Tabla14[[#This Row],[PESO DE CADA INVERSIÓN / TOTAL]]*Tabla14[[#This Row],[TNA Remarcada]]</f>
        <v>1.2462022417867001E-3</v>
      </c>
      <c r="Y7" s="201"/>
    </row>
    <row r="8" spans="1:25" s="2" customFormat="1" ht="15" customHeight="1">
      <c r="A8" s="107"/>
      <c r="B8" s="111" t="s">
        <v>208</v>
      </c>
      <c r="C8" s="111" t="s">
        <v>21</v>
      </c>
      <c r="D8" s="312">
        <f ca="1">Tabla14[[#This Row],[Vencimiento]]-TODAY()</f>
        <v>113</v>
      </c>
      <c r="E8" s="103">
        <v>46283</v>
      </c>
      <c r="F8" s="215">
        <f ca="1">+TODAY()-Tabla14[[#This Row],[FECHA DE COMPRA]]</f>
        <v>25</v>
      </c>
      <c r="G8" s="216">
        <f ca="1">+Tabla14[[#This Row],[Valor Nominal]]*Tabla14[[#This Row],[DIAS EN CARTERA]]*Tabla14[[#This Row],[TNA Remarcada]]/365</f>
        <v>658611.09383561648</v>
      </c>
      <c r="H8" s="13" t="s">
        <v>211</v>
      </c>
      <c r="I8" s="217">
        <f ca="1">+Tabla14[[#This Row],[Vencimiento]]-TODAY()</f>
        <v>113</v>
      </c>
      <c r="J8" s="219">
        <v>0.11</v>
      </c>
      <c r="K8" s="219">
        <v>9.5000000000000001E-2</v>
      </c>
      <c r="L8" s="149"/>
      <c r="M8" s="81" t="s">
        <v>28</v>
      </c>
      <c r="N8" s="77" t="s">
        <v>179</v>
      </c>
      <c r="O8" s="165">
        <v>100000000</v>
      </c>
      <c r="P8" s="165">
        <v>101218126</v>
      </c>
      <c r="Q8" s="220">
        <f>+Tabla14[[#This Row],[Valor Nominal]]</f>
        <v>101218126</v>
      </c>
      <c r="R8" s="150">
        <f>+Tabla14[[#This Row],[Precio de Compra]]</f>
        <v>101218126</v>
      </c>
      <c r="S8" s="221"/>
      <c r="T8" s="221"/>
      <c r="U8" s="17">
        <v>46421</v>
      </c>
      <c r="V8" s="94" t="s">
        <v>77</v>
      </c>
      <c r="W8" s="104">
        <f>Tabla14[[#This Row],[Valor Moneda Local]]/$R$40</f>
        <v>1.3117918334596843E-2</v>
      </c>
      <c r="X8" s="95">
        <f>Tabla14[[#This Row],[PESO DE CADA INVERSIÓN / TOTAL]]*Tabla14[[#This Row],[TNA Remarcada]]</f>
        <v>1.2462022417867001E-3</v>
      </c>
      <c r="Y8" s="201"/>
    </row>
    <row r="9" spans="1:25" s="97" customFormat="1" ht="15" customHeight="1">
      <c r="A9" s="107"/>
      <c r="B9" s="111" t="s">
        <v>65</v>
      </c>
      <c r="C9" s="111" t="s">
        <v>21</v>
      </c>
      <c r="D9" s="207">
        <f ca="1">Tabla14[[#This Row],[Vencimiento]]-TODAY()</f>
        <v>153</v>
      </c>
      <c r="E9" s="103">
        <v>46283</v>
      </c>
      <c r="F9" s="215">
        <f ca="1">+TODAY()-Tabla14[[#This Row],[FECHA DE COMPRA]]</f>
        <v>25</v>
      </c>
      <c r="G9" s="216">
        <f ca="1">+Tabla14[[#This Row],[Valor Nominal]]*Tabla14[[#This Row],[DIAS EN CARTERA]]*Tabla14[[#This Row],[TNA Remarcada]]/365</f>
        <v>650696.8780821918</v>
      </c>
      <c r="H9" s="13" t="s">
        <v>207</v>
      </c>
      <c r="I9" s="217">
        <f ca="1">+Tabla14[[#This Row],[Vencimiento]]-TODAY()</f>
        <v>153</v>
      </c>
      <c r="J9" s="219">
        <v>9.5000000000000001E-2</v>
      </c>
      <c r="K9" s="219">
        <v>9.5000000000000001E-2</v>
      </c>
      <c r="L9" s="149"/>
      <c r="M9" s="81" t="s">
        <v>28</v>
      </c>
      <c r="N9" s="77" t="s">
        <v>179</v>
      </c>
      <c r="O9" s="165">
        <v>100000000</v>
      </c>
      <c r="P9" s="165">
        <v>100001836</v>
      </c>
      <c r="Q9" s="220">
        <f>+Tabla14[[#This Row],[Valor Nominal]]</f>
        <v>100001836</v>
      </c>
      <c r="R9" s="150">
        <f>+Tabla14[[#This Row],[Precio de Compra]]</f>
        <v>100001836</v>
      </c>
      <c r="S9" s="221"/>
      <c r="T9" s="221"/>
      <c r="U9" s="17">
        <v>46461</v>
      </c>
      <c r="V9" s="94" t="s">
        <v>77</v>
      </c>
      <c r="W9" s="104">
        <f>Tabla14[[#This Row],[Valor Moneda Local]]/$R$40</f>
        <v>1.2960286559323837E-2</v>
      </c>
      <c r="X9" s="95">
        <f>Tabla14[[#This Row],[PESO DE CADA INVERSIÓN / TOTAL]]*Tabla14[[#This Row],[TNA Remarcada]]</f>
        <v>1.2312272231357645E-3</v>
      </c>
      <c r="Y9" s="201"/>
    </row>
    <row r="10" spans="1:25" s="2" customFormat="1" ht="15" customHeight="1">
      <c r="A10" s="107"/>
      <c r="B10" s="212" t="s">
        <v>56</v>
      </c>
      <c r="C10" s="212" t="s">
        <v>21</v>
      </c>
      <c r="D10" s="214">
        <f ca="1">Tabla14[[#This Row],[Vencimiento]]-TODAY()</f>
        <v>253</v>
      </c>
      <c r="E10" s="102">
        <v>46283</v>
      </c>
      <c r="F10" s="215">
        <f ca="1">+TODAY()-Tabla14[[#This Row],[FECHA DE COMPRA]]</f>
        <v>25</v>
      </c>
      <c r="G10" s="216">
        <f ca="1">+Tabla14[[#This Row],[Valor Nominal]]*Tabla14[[#This Row],[DIAS EN CARTERA]]*Tabla14[[#This Row],[TNA Remarcada]]/365</f>
        <v>30479.452054794521</v>
      </c>
      <c r="H10" s="81" t="s">
        <v>205</v>
      </c>
      <c r="I10" s="217">
        <f ca="1">+Tabla14[[#This Row],[Vencimiento]]-TODAY()</f>
        <v>253</v>
      </c>
      <c r="J10" s="219">
        <v>8.5000000000000006E-2</v>
      </c>
      <c r="K10" s="219">
        <v>8.8999999999999996E-2</v>
      </c>
      <c r="L10" s="149"/>
      <c r="M10" s="81" t="s">
        <v>28</v>
      </c>
      <c r="N10" s="77" t="s">
        <v>170</v>
      </c>
      <c r="O10" s="165">
        <v>5000000</v>
      </c>
      <c r="P10" s="165">
        <v>5000000</v>
      </c>
      <c r="Q10" s="314">
        <v>4986439</v>
      </c>
      <c r="R10" s="150">
        <f>+Tabla14[[#This Row],[Precio de Compra]]</f>
        <v>4986439</v>
      </c>
      <c r="S10" s="221"/>
      <c r="T10" s="221"/>
      <c r="U10" s="94">
        <v>46561</v>
      </c>
      <c r="V10" s="94" t="s">
        <v>61</v>
      </c>
      <c r="W10" s="104">
        <f>Tabla14[[#This Row],[Valor Moneda Local]]/$R$40</f>
        <v>6.4624491844917926E-4</v>
      </c>
      <c r="X10" s="95">
        <f>Tabla14[[#This Row],[PESO DE CADA INVERSIÓN / TOTAL]]*Tabla14[[#This Row],[TNA Remarcada]]</f>
        <v>5.7515797741976949E-5</v>
      </c>
      <c r="Y10" s="96"/>
    </row>
    <row r="11" spans="1:25" s="2" customFormat="1" ht="15" customHeight="1">
      <c r="A11" s="107"/>
      <c r="B11" s="212" t="s">
        <v>171</v>
      </c>
      <c r="C11" s="212" t="s">
        <v>21</v>
      </c>
      <c r="D11" s="214">
        <f ca="1">Tabla14[[#This Row],[Vencimiento]]-TODAY()</f>
        <v>531</v>
      </c>
      <c r="E11" s="102">
        <v>46281</v>
      </c>
      <c r="F11" s="215">
        <f ca="1">+TODAY()-Tabla14[[#This Row],[FECHA DE COMPRA]]</f>
        <v>27</v>
      </c>
      <c r="G11" s="216">
        <f ca="1">+Tabla14[[#This Row],[Valor Nominal]]*Tabla14[[#This Row],[DIAS EN CARTERA]]*Tabla14[[#This Row],[TNA Remarcada]]/365</f>
        <v>1405479.4520547944</v>
      </c>
      <c r="H11" s="81" t="s">
        <v>204</v>
      </c>
      <c r="I11" s="217">
        <f ca="1">+Tabla14[[#This Row],[Vencimiento]]-TODAY()</f>
        <v>531</v>
      </c>
      <c r="J11" s="219">
        <v>0.08</v>
      </c>
      <c r="K11" s="219">
        <v>9.5000000000000001E-2</v>
      </c>
      <c r="L11" s="149"/>
      <c r="M11" s="81" t="s">
        <v>28</v>
      </c>
      <c r="N11" s="77" t="s">
        <v>170</v>
      </c>
      <c r="O11" s="165">
        <v>200000000</v>
      </c>
      <c r="P11" s="165">
        <v>200000000</v>
      </c>
      <c r="Q11" s="315">
        <v>196972577</v>
      </c>
      <c r="R11" s="150">
        <f>+Tabla14[[#This Row],[Precio de Compra]]</f>
        <v>196972577</v>
      </c>
      <c r="S11" s="221"/>
      <c r="T11" s="221"/>
      <c r="U11" s="94">
        <v>46839</v>
      </c>
      <c r="V11" s="94" t="s">
        <v>77</v>
      </c>
      <c r="W11" s="104">
        <f>Tabla14[[#This Row],[Valor Moneda Local]]/$R$40</f>
        <v>2.5527741733146574E-2</v>
      </c>
      <c r="X11" s="95">
        <f>Tabla14[[#This Row],[PESO DE CADA INVERSIÓN / TOTAL]]*Tabla14[[#This Row],[TNA Remarcada]]</f>
        <v>2.4251354646489245E-3</v>
      </c>
      <c r="Y11" s="96"/>
    </row>
    <row r="12" spans="1:25" s="97" customFormat="1" ht="15" customHeight="1">
      <c r="A12" s="107"/>
      <c r="B12" s="112" t="s">
        <v>172</v>
      </c>
      <c r="C12" s="112" t="s">
        <v>186</v>
      </c>
      <c r="D12" s="209">
        <f ca="1">Tabla14[[#This Row],[Vencimiento]]-TODAY()</f>
        <v>1557</v>
      </c>
      <c r="E12" s="82">
        <v>46259</v>
      </c>
      <c r="F12" s="215">
        <f ca="1">+TODAY()-Tabla14[[#This Row],[FECHA DE COMPRA]]</f>
        <v>49</v>
      </c>
      <c r="G12" s="316">
        <f ca="1">+Tabla14[[#This Row],[Valor Nominal]]*Tabla14[[#This Row],[DIAS EN CARTERA]]*Tabla14[[#This Row],[TNA Remarcada]]/365</f>
        <v>2013698.6301369863</v>
      </c>
      <c r="H12" s="85" t="s">
        <v>184</v>
      </c>
      <c r="I12" s="86">
        <f ca="1">+Tabla14[[#This Row],[Vencimiento]]-TODAY()</f>
        <v>1557</v>
      </c>
      <c r="J12" s="87">
        <v>0.08</v>
      </c>
      <c r="K12" s="64">
        <v>0.1</v>
      </c>
      <c r="L12" s="89">
        <v>150</v>
      </c>
      <c r="M12" s="85" t="s">
        <v>48</v>
      </c>
      <c r="N12" s="77" t="s">
        <v>170</v>
      </c>
      <c r="O12" s="90">
        <f>Tabla14[[#This Row],[Valor Nominal]]</f>
        <v>150000000</v>
      </c>
      <c r="P12" s="90">
        <v>150000000</v>
      </c>
      <c r="Q12" s="317">
        <v>150460274</v>
      </c>
      <c r="R12" s="318">
        <f>+Tabla14[[#This Row],[Precio de Compra]]</f>
        <v>150460274</v>
      </c>
      <c r="S12" s="221"/>
      <c r="T12" s="221"/>
      <c r="U12" s="93">
        <v>47865</v>
      </c>
      <c r="V12" s="93" t="s">
        <v>63</v>
      </c>
      <c r="W12" s="104">
        <f>Tabla14[[#This Row],[Valor Moneda Local]]/$R$40</f>
        <v>1.9499724653399182E-2</v>
      </c>
      <c r="X12" s="95">
        <f>Tabla14[[#This Row],[PESO DE CADA INVERSIÓN / TOTAL]]*Tabla14[[#This Row],[TNA Remarcada]]</f>
        <v>1.9499724653399182E-3</v>
      </c>
      <c r="Y12" s="319"/>
    </row>
    <row r="13" spans="1:25" ht="15" customHeight="1">
      <c r="B13" s="110" t="s">
        <v>182</v>
      </c>
      <c r="C13" s="110" t="s">
        <v>21</v>
      </c>
      <c r="D13" s="211">
        <f ca="1">Tabla14[[#This Row],[Vencimiento]]-TODAY()</f>
        <v>105</v>
      </c>
      <c r="E13" s="65">
        <v>46245</v>
      </c>
      <c r="F13" s="58">
        <f ca="1">+TODAY()-Tabla14[[#This Row],[FECHA DE COMPRA]]</f>
        <v>63</v>
      </c>
      <c r="G13" s="59">
        <f ca="1">+Tabla14[[#This Row],[Valor Nominal]]*Tabla14[[#This Row],[DIAS EN CARTERA]]*Tabla14[[#This Row],[TNA Remarcada]]/365</f>
        <v>619212.32876712328</v>
      </c>
      <c r="H13" s="57" t="s">
        <v>178</v>
      </c>
      <c r="I13" s="79">
        <f ca="1">+Tabla14[[#This Row],[Vencimiento]]-TODAY()</f>
        <v>105</v>
      </c>
      <c r="J13" s="88">
        <v>9.2499999999999999E-2</v>
      </c>
      <c r="K13" s="88">
        <v>0.10249999999999999</v>
      </c>
      <c r="L13" s="60">
        <v>1</v>
      </c>
      <c r="M13" s="57" t="s">
        <v>6</v>
      </c>
      <c r="N13" s="77" t="s">
        <v>179</v>
      </c>
      <c r="O13" s="61">
        <v>35000000</v>
      </c>
      <c r="P13" s="90">
        <v>35000000</v>
      </c>
      <c r="Q13" s="61">
        <v>36407621</v>
      </c>
      <c r="R13" s="60">
        <f>+Tabla14[[#This Row],[Precio de Compra]]</f>
        <v>36407621</v>
      </c>
      <c r="S13" s="99"/>
      <c r="T13" s="99"/>
      <c r="U13" s="63">
        <v>46413</v>
      </c>
      <c r="V13" s="75" t="s">
        <v>61</v>
      </c>
      <c r="W13" s="104">
        <f>Tabla14[[#This Row],[Valor Moneda Local]]/$R$40</f>
        <v>4.7184453803753787E-3</v>
      </c>
      <c r="X13" s="76">
        <f>Tabla14[[#This Row],[PESO DE CADA INVERSIÓN / TOTAL]]*Tabla14[[#This Row],[TNA Remarcada]]</f>
        <v>4.8364065148847631E-4</v>
      </c>
      <c r="Y13" s="39"/>
    </row>
    <row r="14" spans="1:25" ht="15" customHeight="1">
      <c r="B14" s="110" t="s">
        <v>177</v>
      </c>
      <c r="C14" s="110" t="s">
        <v>187</v>
      </c>
      <c r="D14" s="211">
        <f ca="1">Tabla14[[#This Row],[Vencimiento]]-TODAY()</f>
        <v>1629</v>
      </c>
      <c r="E14" s="65">
        <v>46245</v>
      </c>
      <c r="F14" s="58">
        <f ca="1">+TODAY()-Tabla14[[#This Row],[FECHA DE COMPRA]]</f>
        <v>63</v>
      </c>
      <c r="G14" s="59">
        <f ca="1">+Tabla14[[#This Row],[Valor Nominal]]*Tabla14[[#This Row],[DIAS EN CARTERA]]*Tabla14[[#This Row],[TNA Remarcada]]/365</f>
        <v>4556712.3287671236</v>
      </c>
      <c r="H14" s="57" t="s">
        <v>87</v>
      </c>
      <c r="I14" s="79">
        <f ca="1">+Tabla14[[#This Row],[Vencimiento]]-TODAY()</f>
        <v>1629</v>
      </c>
      <c r="J14" s="88">
        <v>0.11</v>
      </c>
      <c r="K14" s="88">
        <v>0.12</v>
      </c>
      <c r="L14" s="60">
        <v>220</v>
      </c>
      <c r="M14" s="57" t="s">
        <v>28</v>
      </c>
      <c r="N14" s="77" t="s">
        <v>170</v>
      </c>
      <c r="O14" s="61">
        <v>1000000</v>
      </c>
      <c r="P14" s="90">
        <v>220000000</v>
      </c>
      <c r="Q14" s="61">
        <v>213051918</v>
      </c>
      <c r="R14" s="60">
        <f>+Tabla14[[#This Row],[Precio de Compra]]</f>
        <v>213051918</v>
      </c>
      <c r="S14" s="99"/>
      <c r="T14" s="99"/>
      <c r="U14" s="63">
        <v>47937</v>
      </c>
      <c r="V14" s="75" t="s">
        <v>62</v>
      </c>
      <c r="W14" s="104">
        <f>Tabla14[[#This Row],[Valor Moneda Local]]/$R$40</f>
        <v>2.761163214336949E-2</v>
      </c>
      <c r="X14" s="76">
        <f>Tabla14[[#This Row],[PESO DE CADA INVERSIÓN / TOTAL]]*Tabla14[[#This Row],[TNA Remarcada]]</f>
        <v>3.3133958572043386E-3</v>
      </c>
      <c r="Y14" s="39"/>
    </row>
    <row r="15" spans="1:25" ht="15" customHeight="1">
      <c r="B15" s="113" t="s">
        <v>58</v>
      </c>
      <c r="C15" s="113" t="s">
        <v>186</v>
      </c>
      <c r="D15" s="210">
        <f ca="1">Tabla14[[#This Row],[Vencimiento]]-TODAY()</f>
        <v>1448</v>
      </c>
      <c r="E15" s="65">
        <v>46238</v>
      </c>
      <c r="F15" s="58">
        <f ca="1">+TODAY()-Tabla14[[#This Row],[FECHA DE COMPRA]]</f>
        <v>70</v>
      </c>
      <c r="G15" s="59">
        <f ca="1">+Tabla14[[#This Row],[Valor Nominal]]*Tabla14[[#This Row],[DIAS EN CARTERA]]*Tabla14[[#This Row],[TNA Remarcada]]/365</f>
        <v>4369726.0273972601</v>
      </c>
      <c r="H15" s="57" t="s">
        <v>59</v>
      </c>
      <c r="I15" s="79">
        <f ca="1">+Tabla14[[#This Row],[Vencimiento]]-TODAY()</f>
        <v>1448</v>
      </c>
      <c r="J15" s="88">
        <v>0.1085</v>
      </c>
      <c r="K15" s="88">
        <v>0.1085</v>
      </c>
      <c r="L15" s="60">
        <f>250-40</f>
        <v>210</v>
      </c>
      <c r="M15" s="57" t="s">
        <v>28</v>
      </c>
      <c r="N15" s="77" t="s">
        <v>170</v>
      </c>
      <c r="O15" s="61">
        <v>1000000</v>
      </c>
      <c r="P15" s="90">
        <f>+Tabla14[[#This Row],[Valor por Corte]]*Tabla14[[#This Row],[Cantidad]]</f>
        <v>210000000</v>
      </c>
      <c r="Q15" s="61">
        <v>415616690</v>
      </c>
      <c r="R15" s="14">
        <f>+Tabla14[[#This Row],[Precio de Compra]]</f>
        <v>415616690</v>
      </c>
      <c r="S15" s="99"/>
      <c r="T15" s="99"/>
      <c r="U15" s="63">
        <v>47756</v>
      </c>
      <c r="V15" s="75" t="s">
        <v>61</v>
      </c>
      <c r="W15" s="104">
        <f>Tabla14[[#This Row],[Valor Moneda Local]]/$R$40</f>
        <v>5.3864125067040386E-2</v>
      </c>
      <c r="X15" s="76">
        <f>Tabla14[[#This Row],[PESO DE CADA INVERSIÓN / TOTAL]]*Tabla14[[#This Row],[TNA Remarcada]]</f>
        <v>5.844257569773882E-3</v>
      </c>
      <c r="Y15" s="39"/>
    </row>
    <row r="16" spans="1:25" s="106" customFormat="1" ht="15" customHeight="1">
      <c r="A16" s="109"/>
      <c r="B16" s="112" t="s">
        <v>177</v>
      </c>
      <c r="C16" s="112" t="s">
        <v>187</v>
      </c>
      <c r="D16" s="209">
        <f ca="1">Tabla14[[#This Row],[Vencimiento]]-TODAY()</f>
        <v>1629</v>
      </c>
      <c r="E16" s="82">
        <v>46238</v>
      </c>
      <c r="F16" s="260">
        <f ca="1">+TODAY()-Tabla14[[#This Row],[FECHA DE COMPRA]]</f>
        <v>70</v>
      </c>
      <c r="G16" s="261">
        <f ca="1">+Tabla14[[#This Row],[Valor Nominal]]*Tabla14[[#This Row],[DIAS EN CARTERA]]*Tabla14[[#This Row],[TNA Remarcada]]/365</f>
        <v>7805479.4520547949</v>
      </c>
      <c r="H16" s="85" t="s">
        <v>87</v>
      </c>
      <c r="I16" s="131">
        <f ca="1">+Tabla14[[#This Row],[Vencimiento]]-TODAY()</f>
        <v>1629</v>
      </c>
      <c r="J16" s="88">
        <v>0.11</v>
      </c>
      <c r="K16" s="88">
        <v>0.11</v>
      </c>
      <c r="L16" s="132">
        <f>400-30</f>
        <v>370</v>
      </c>
      <c r="M16" s="81" t="s">
        <v>28</v>
      </c>
      <c r="N16" s="77" t="s">
        <v>170</v>
      </c>
      <c r="O16" s="90">
        <v>1000000</v>
      </c>
      <c r="P16" s="90">
        <f>+Tabla14[[#This Row],[Valor por Corte]]*Tabla14[[#This Row],[Cantidad]]</f>
        <v>370000000</v>
      </c>
      <c r="Q16" s="90">
        <v>360000000</v>
      </c>
      <c r="R16" s="89">
        <f>+Tabla14[[#This Row],[Precio de Compra]]</f>
        <v>360000000</v>
      </c>
      <c r="S16" s="99"/>
      <c r="T16" s="99"/>
      <c r="U16" s="93">
        <v>47937</v>
      </c>
      <c r="V16" s="100" t="s">
        <v>62</v>
      </c>
      <c r="W16" s="158">
        <f>Tabla14[[#This Row],[Valor Moneda Local]]/$R$40</f>
        <v>4.66561750061927E-2</v>
      </c>
      <c r="X16" s="95">
        <f>Tabla14[[#This Row],[PESO DE CADA INVERSIÓN / TOTAL]]*Tabla14[[#This Row],[TNA Remarcada]]</f>
        <v>5.1321792506811969E-3</v>
      </c>
      <c r="Y16" s="96"/>
    </row>
    <row r="17" spans="1:25" s="106" customFormat="1" ht="15" customHeight="1">
      <c r="A17" s="109"/>
      <c r="B17" s="112" t="s">
        <v>167</v>
      </c>
      <c r="C17" s="112" t="s">
        <v>186</v>
      </c>
      <c r="D17" s="209">
        <f ca="1">Tabla14[[#This Row],[Vencimiento]]-TODAY()</f>
        <v>805</v>
      </c>
      <c r="E17" s="82">
        <v>46233</v>
      </c>
      <c r="F17" s="83">
        <f ca="1">+TODAY()-Tabla14[[#This Row],[FECHA DE COMPRA]]</f>
        <v>75</v>
      </c>
      <c r="G17" s="84">
        <f ca="1">+Tabla14[[#This Row],[Valor Nominal]]*Tabla14[[#This Row],[DIAS EN CARTERA]]*Tabla14[[#This Row],[TNA Remarcada]]/365</f>
        <v>4715753.4246575339</v>
      </c>
      <c r="H17" s="85" t="s">
        <v>175</v>
      </c>
      <c r="I17" s="86">
        <f ca="1">+Tabla14[[#This Row],[Vencimiento]]-TODAY()</f>
        <v>805</v>
      </c>
      <c r="J17" s="88">
        <v>0.1275</v>
      </c>
      <c r="K17" s="88">
        <v>0.1275</v>
      </c>
      <c r="L17" s="89">
        <v>200</v>
      </c>
      <c r="M17" s="85" t="s">
        <v>27</v>
      </c>
      <c r="N17" s="77" t="s">
        <v>170</v>
      </c>
      <c r="O17" s="90">
        <v>1000000</v>
      </c>
      <c r="P17" s="144">
        <v>180000000</v>
      </c>
      <c r="Q17" s="98">
        <v>180000000</v>
      </c>
      <c r="R17" s="150">
        <f>+Tabla14[[#This Row],[Precio de Compra]]</f>
        <v>180000000</v>
      </c>
      <c r="S17" s="99"/>
      <c r="T17" s="99"/>
      <c r="U17" s="93">
        <v>47113</v>
      </c>
      <c r="V17" s="100" t="s">
        <v>169</v>
      </c>
      <c r="W17" s="158">
        <f>Tabla14[[#This Row],[Valor Moneda Local]]/$R$40</f>
        <v>2.332808750309635E-2</v>
      </c>
      <c r="X17" s="95">
        <f>Tabla14[[#This Row],[PESO DE CADA INVERSIÓN / TOTAL]]*Tabla14[[#This Row],[TNA Remarcada]]</f>
        <v>2.9743311566447846E-3</v>
      </c>
      <c r="Y17" s="96"/>
    </row>
    <row r="18" spans="1:25" s="106" customFormat="1" ht="15" customHeight="1">
      <c r="A18" s="109"/>
      <c r="B18" s="112" t="s">
        <v>171</v>
      </c>
      <c r="C18" s="112" t="s">
        <v>187</v>
      </c>
      <c r="D18" s="209">
        <f ca="1">Tabla14[[#This Row],[Vencimiento]]-TODAY()</f>
        <v>567</v>
      </c>
      <c r="E18" s="82">
        <v>46226</v>
      </c>
      <c r="F18" s="83">
        <f ca="1">+TODAY()-Tabla14[[#This Row],[FECHA DE COMPRA]]</f>
        <v>82</v>
      </c>
      <c r="G18" s="84">
        <f ca="1">+Tabla14[[#This Row],[Valor Nominal]]*Tabla14[[#This Row],[DIAS EN CARTERA]]*Tabla14[[#This Row],[TNA Remarcada]]/365</f>
        <v>323506.84931506851</v>
      </c>
      <c r="H18" s="85" t="s">
        <v>25</v>
      </c>
      <c r="I18" s="86">
        <f ca="1">+Tabla14[[#This Row],[Vencimiento]]-TODAY()</f>
        <v>567</v>
      </c>
      <c r="J18" s="88">
        <v>0.09</v>
      </c>
      <c r="K18" s="88">
        <v>0.12</v>
      </c>
      <c r="L18" s="89">
        <v>12</v>
      </c>
      <c r="M18" s="85" t="s">
        <v>27</v>
      </c>
      <c r="N18" s="77" t="s">
        <v>170</v>
      </c>
      <c r="O18" s="90">
        <v>1000000</v>
      </c>
      <c r="P18" s="90">
        <v>12000000</v>
      </c>
      <c r="Q18" s="98">
        <v>12071863</v>
      </c>
      <c r="R18" s="150">
        <f>+Tabla14[[#This Row],[Precio de Compra]]</f>
        <v>12071863</v>
      </c>
      <c r="S18" s="99"/>
      <c r="T18" s="99"/>
      <c r="U18" s="93">
        <v>46875</v>
      </c>
      <c r="V18" s="100" t="s">
        <v>77</v>
      </c>
      <c r="W18" s="104">
        <f>Tabla14[[#This Row],[Valor Moneda Local]]/$R$40</f>
        <v>1.5645193132743957E-3</v>
      </c>
      <c r="X18" s="95">
        <f>Tabla14[[#This Row],[PESO DE CADA INVERSIÓN / TOTAL]]*Tabla14[[#This Row],[TNA Remarcada]]</f>
        <v>1.8774231759292748E-4</v>
      </c>
      <c r="Y18" s="96"/>
    </row>
    <row r="19" spans="1:25" s="159" customFormat="1" ht="15" customHeight="1">
      <c r="A19" s="157"/>
      <c r="B19" s="112" t="s">
        <v>167</v>
      </c>
      <c r="C19" s="112" t="s">
        <v>186</v>
      </c>
      <c r="D19" s="209">
        <f ca="1">Tabla14[[#This Row],[Vencimiento]]-TODAY()</f>
        <v>161</v>
      </c>
      <c r="E19" s="82">
        <v>46225</v>
      </c>
      <c r="F19" s="83">
        <f ca="1">+TODAY()-Tabla14[[#This Row],[FECHA DE COMPRA]]</f>
        <v>83</v>
      </c>
      <c r="G19" s="84">
        <f ca="1">+Tabla14[[#This Row],[Valor Nominal]]*Tabla14[[#This Row],[DIAS EN CARTERA]]*Tabla14[[#This Row],[TNA Remarcada]]/365</f>
        <v>5543945.2054794524</v>
      </c>
      <c r="H19" s="85" t="s">
        <v>168</v>
      </c>
      <c r="I19" s="86">
        <f ca="1">+Tabla14[[#This Row],[Vencimiento]]-TODAY()</f>
        <v>161</v>
      </c>
      <c r="J19" s="88">
        <v>0.13250000000000001</v>
      </c>
      <c r="K19" s="88">
        <v>0.13250000000000001</v>
      </c>
      <c r="L19" s="89">
        <v>184</v>
      </c>
      <c r="M19" s="85" t="s">
        <v>28</v>
      </c>
      <c r="N19" s="77" t="s">
        <v>170</v>
      </c>
      <c r="O19" s="90">
        <v>1000000</v>
      </c>
      <c r="P19" s="90">
        <v>184000000</v>
      </c>
      <c r="Q19" s="98">
        <v>184000000</v>
      </c>
      <c r="R19" s="150">
        <f>+Tabla14[[#This Row],[Precio de Compra]]</f>
        <v>184000000</v>
      </c>
      <c r="S19" s="99"/>
      <c r="T19" s="99"/>
      <c r="U19" s="93">
        <v>46469</v>
      </c>
      <c r="V19" s="100" t="s">
        <v>169</v>
      </c>
      <c r="W19" s="158">
        <f>Tabla14[[#This Row],[Valor Moneda Local]]/$R$40</f>
        <v>2.3846489447609601E-2</v>
      </c>
      <c r="X19" s="95">
        <f>Tabla14[[#This Row],[PESO DE CADA INVERSIÓN / TOTAL]]*Tabla14[[#This Row],[TNA Remarcada]]</f>
        <v>3.1596598518082723E-3</v>
      </c>
      <c r="Y19" s="201"/>
    </row>
    <row r="20" spans="1:25" s="106" customFormat="1" ht="15" customHeight="1">
      <c r="A20" s="109"/>
      <c r="B20" s="112" t="s">
        <v>172</v>
      </c>
      <c r="C20" s="112" t="s">
        <v>186</v>
      </c>
      <c r="D20" s="209">
        <f ca="1">Tabla14[[#This Row],[Vencimiento]]-TODAY()</f>
        <v>957</v>
      </c>
      <c r="E20" s="82">
        <v>46225</v>
      </c>
      <c r="F20" s="83">
        <f ca="1">+TODAY()-Tabla14[[#This Row],[FECHA DE COMPRA]]</f>
        <v>83</v>
      </c>
      <c r="G20" s="84">
        <f ca="1">+Tabla14[[#This Row],[Valor Nominal]]*Tabla14[[#This Row],[DIAS EN CARTERA]]*Tabla14[[#This Row],[TNA Remarcada]]/365</f>
        <v>1068767.1232876712</v>
      </c>
      <c r="H20" s="85" t="s">
        <v>85</v>
      </c>
      <c r="I20" s="86">
        <f ca="1">+Tabla14[[#This Row],[Vencimiento]]-TODAY()</f>
        <v>957</v>
      </c>
      <c r="J20" s="88">
        <v>9.4E-2</v>
      </c>
      <c r="K20" s="88">
        <v>9.4E-2</v>
      </c>
      <c r="L20" s="89">
        <v>50</v>
      </c>
      <c r="M20" s="85" t="s">
        <v>27</v>
      </c>
      <c r="N20" s="77" t="s">
        <v>170</v>
      </c>
      <c r="O20" s="90">
        <v>1000000</v>
      </c>
      <c r="P20" s="90">
        <v>50000000</v>
      </c>
      <c r="Q20" s="98">
        <v>50721100</v>
      </c>
      <c r="R20" s="150">
        <f>+Tabla14[[#This Row],[Precio de Compra]]</f>
        <v>50721100</v>
      </c>
      <c r="S20" s="99"/>
      <c r="T20" s="99"/>
      <c r="U20" s="93">
        <v>47265</v>
      </c>
      <c r="V20" s="100" t="s">
        <v>61</v>
      </c>
      <c r="W20" s="104">
        <f>Tabla14[[#This Row],[Valor Moneda Local]]/$R$40</f>
        <v>6.5734792169627795E-3</v>
      </c>
      <c r="X20" s="95">
        <f>Tabla14[[#This Row],[PESO DE CADA INVERSIÓN / TOTAL]]*Tabla14[[#This Row],[TNA Remarcada]]</f>
        <v>6.1790704639450131E-4</v>
      </c>
      <c r="Y20" s="96"/>
    </row>
    <row r="21" spans="1:25" s="106" customFormat="1" ht="15" customHeight="1">
      <c r="A21" s="109"/>
      <c r="B21" s="112" t="s">
        <v>165</v>
      </c>
      <c r="C21" s="112" t="s">
        <v>21</v>
      </c>
      <c r="D21" s="209">
        <f ca="1">Tabla14[[#This Row],[Vencimiento]]-TODAY()</f>
        <v>104</v>
      </c>
      <c r="E21" s="82">
        <v>46224</v>
      </c>
      <c r="F21" s="83">
        <f ca="1">+TODAY()-Tabla14[[#This Row],[FECHA DE COMPRA]]</f>
        <v>84</v>
      </c>
      <c r="G21" s="84">
        <f ca="1">+Tabla14[[#This Row],[Valor Nominal]]*Tabla14[[#This Row],[DIAS EN CARTERA]]*Tabla14[[#This Row],[TNA Remarcada]]/365</f>
        <v>1582191.7808219178</v>
      </c>
      <c r="H21" s="85" t="s">
        <v>166</v>
      </c>
      <c r="I21" s="86">
        <f ca="1">+Tabla14[[#This Row],[Vencimiento]]-TODAY()</f>
        <v>104</v>
      </c>
      <c r="J21" s="87">
        <v>0.1</v>
      </c>
      <c r="K21" s="88">
        <v>0.125</v>
      </c>
      <c r="L21" s="89">
        <v>1</v>
      </c>
      <c r="M21" s="85" t="s">
        <v>81</v>
      </c>
      <c r="N21" s="77" t="s">
        <v>170</v>
      </c>
      <c r="O21" s="90">
        <v>55000000</v>
      </c>
      <c r="P21" s="90">
        <v>55000000</v>
      </c>
      <c r="Q21" s="98">
        <v>67111528</v>
      </c>
      <c r="R21" s="150">
        <f>+Tabla14[[#This Row],[Precio de Compra]]</f>
        <v>67111528</v>
      </c>
      <c r="S21" s="99"/>
      <c r="T21" s="99"/>
      <c r="U21" s="93">
        <v>46412</v>
      </c>
      <c r="V21" s="100" t="s">
        <v>63</v>
      </c>
      <c r="W21" s="104">
        <f>Tabla14[[#This Row],[Valor Moneda Local]]/$R$40</f>
        <v>8.6976866536138935E-3</v>
      </c>
      <c r="X21" s="95">
        <f>Tabla14[[#This Row],[PESO DE CADA INVERSIÓN / TOTAL]]*Tabla14[[#This Row],[TNA Remarcada]]</f>
        <v>1.0872108317017367E-3</v>
      </c>
      <c r="Y21" s="96"/>
    </row>
    <row r="22" spans="1:25" s="159" customFormat="1" ht="15" customHeight="1">
      <c r="A22" s="157"/>
      <c r="B22" s="112" t="s">
        <v>160</v>
      </c>
      <c r="C22" s="112" t="s">
        <v>187</v>
      </c>
      <c r="D22" s="209">
        <f ca="1">Tabla14[[#This Row],[Vencimiento]]-TODAY()</f>
        <v>1337</v>
      </c>
      <c r="E22" s="82">
        <v>46210</v>
      </c>
      <c r="F22" s="83">
        <f ca="1">+TODAY()-Tabla14[[#This Row],[FECHA DE COMPRA]]</f>
        <v>98</v>
      </c>
      <c r="G22" s="84">
        <f ca="1">+Tabla14[[#This Row],[Valor Nominal]]*Tabla14[[#This Row],[DIAS EN CARTERA]]*Tabla14[[#This Row],[TNA Remarcada]]/365</f>
        <v>3608547.9452054794</v>
      </c>
      <c r="H22" s="89" t="s">
        <v>161</v>
      </c>
      <c r="I22" s="142">
        <f ca="1">+Tabla14[[#This Row],[Vencimiento]]-TODAY()</f>
        <v>1337</v>
      </c>
      <c r="J22" s="88">
        <v>0.1225</v>
      </c>
      <c r="K22" s="143">
        <v>0.12</v>
      </c>
      <c r="L22" s="89">
        <v>200</v>
      </c>
      <c r="M22" s="85" t="s">
        <v>27</v>
      </c>
      <c r="N22" s="77" t="s">
        <v>170</v>
      </c>
      <c r="O22" s="144">
        <v>1000000</v>
      </c>
      <c r="P22" s="144">
        <v>112000000</v>
      </c>
      <c r="Q22" s="98">
        <v>112000000</v>
      </c>
      <c r="R22" s="150">
        <f>+Tabla14[[#This Row],[Precio de Compra]]</f>
        <v>112000000</v>
      </c>
      <c r="S22" s="99"/>
      <c r="T22" s="99"/>
      <c r="U22" s="145">
        <v>47645</v>
      </c>
      <c r="V22" s="146" t="s">
        <v>77</v>
      </c>
      <c r="W22" s="104">
        <f>Tabla14[[#This Row],[Valor Moneda Local]]/$R$40</f>
        <v>1.4515254446371062E-2</v>
      </c>
      <c r="X22" s="95">
        <f>Tabla14[[#This Row],[PESO DE CADA INVERSIÓN / TOTAL]]*Tabla14[[#This Row],[TNA Remarcada]]</f>
        <v>1.7418305335645274E-3</v>
      </c>
      <c r="Y22" s="201"/>
    </row>
    <row r="23" spans="1:25" s="159" customFormat="1" ht="15" customHeight="1">
      <c r="A23" s="157"/>
      <c r="B23" s="110" t="s">
        <v>177</v>
      </c>
      <c r="C23" s="110" t="s">
        <v>187</v>
      </c>
      <c r="D23" s="211">
        <f ca="1">Tabla14[[#This Row],[Vencimiento]]-TODAY()</f>
        <v>1629</v>
      </c>
      <c r="E23" s="65">
        <v>46206</v>
      </c>
      <c r="F23" s="83">
        <f ca="1">+TODAY()-Tabla14[[#This Row],[FECHA DE COMPRA]]</f>
        <v>102</v>
      </c>
      <c r="G23" s="84">
        <f ca="1">+Tabla14[[#This Row],[Valor Nominal]]*Tabla14[[#This Row],[DIAS EN CARTERA]]*Tabla14[[#This Row],[TNA Remarcada]]/365</f>
        <v>6147945.2054794524</v>
      </c>
      <c r="H23" s="57" t="s">
        <v>87</v>
      </c>
      <c r="I23" s="86">
        <f ca="1">+Tabla14[[#This Row],[Vencimiento]]-TODAY()</f>
        <v>1629</v>
      </c>
      <c r="J23" s="88">
        <v>0.11</v>
      </c>
      <c r="K23" s="88">
        <v>0.11</v>
      </c>
      <c r="L23" s="89">
        <v>200</v>
      </c>
      <c r="M23" s="85" t="s">
        <v>28</v>
      </c>
      <c r="N23" s="77" t="s">
        <v>170</v>
      </c>
      <c r="O23" s="90">
        <v>1000000</v>
      </c>
      <c r="P23" s="90">
        <f>+Tabla14[[#This Row],[Valor por Corte]]*Tabla14[[#This Row],[Cantidad]]</f>
        <v>200000000</v>
      </c>
      <c r="Q23" s="98">
        <v>200180822</v>
      </c>
      <c r="R23" s="150">
        <f>+Tabla14[[#This Row],[Precio de Compra]]</f>
        <v>200180822</v>
      </c>
      <c r="S23" s="99"/>
      <c r="T23" s="99"/>
      <c r="U23" s="63">
        <v>47937</v>
      </c>
      <c r="V23" s="100" t="s">
        <v>62</v>
      </c>
      <c r="W23" s="104">
        <f>Tabla14[[#This Row],[Valor Moneda Local]]/$R$40</f>
        <v>2.5943531844765305E-2</v>
      </c>
      <c r="X23" s="95">
        <f>Tabla14[[#This Row],[PESO DE CADA INVERSIÓN / TOTAL]]*Tabla14[[#This Row],[TNA Remarcada]]</f>
        <v>2.8537885029241835E-3</v>
      </c>
      <c r="Y23" s="201"/>
    </row>
    <row r="24" spans="1:25" s="106" customFormat="1" ht="15" customHeight="1">
      <c r="A24" s="109"/>
      <c r="B24" s="127" t="s">
        <v>65</v>
      </c>
      <c r="C24" s="127" t="s">
        <v>21</v>
      </c>
      <c r="D24" s="208">
        <f ca="1">Tabla14[[#This Row],[Vencimiento]]-TODAY()</f>
        <v>211</v>
      </c>
      <c r="E24" s="128">
        <v>46184</v>
      </c>
      <c r="F24" s="129">
        <f ca="1">+TODAY()-Tabla14[[#This Row],[FECHA DE COMPRA]]</f>
        <v>124</v>
      </c>
      <c r="G24" s="116">
        <f ca="1">+Tabla14[[#This Row],[Valor Nominal]]*Tabla14[[#This Row],[DIAS EN CARTERA]]*Tabla14[[#This Row],[TNA Remarcada]]/365</f>
        <v>34821917.80821918</v>
      </c>
      <c r="H24" s="130" t="s">
        <v>91</v>
      </c>
      <c r="I24" s="131">
        <f ca="1">+Tabla14[[#This Row],[Vencimiento]]-TODAY()</f>
        <v>211</v>
      </c>
      <c r="J24" s="225">
        <v>0.104</v>
      </c>
      <c r="K24" s="225">
        <v>0.10249999999999999</v>
      </c>
      <c r="L24" s="132">
        <v>1</v>
      </c>
      <c r="M24" s="130" t="s">
        <v>81</v>
      </c>
      <c r="N24" s="121" t="s">
        <v>170</v>
      </c>
      <c r="O24" s="133">
        <v>1000000000</v>
      </c>
      <c r="P24" s="133">
        <v>1000000000</v>
      </c>
      <c r="Q24" s="134">
        <v>1009670507</v>
      </c>
      <c r="R24" s="132">
        <f>+Tabla14[[#This Row],[Precio de Compra]]</f>
        <v>1009670507</v>
      </c>
      <c r="S24" s="226" t="s">
        <v>60</v>
      </c>
      <c r="T24" s="226" t="s">
        <v>173</v>
      </c>
      <c r="U24" s="135">
        <v>46519</v>
      </c>
      <c r="V24" s="136" t="s">
        <v>62</v>
      </c>
      <c r="W24" s="124">
        <f>Tabla14[[#This Row],[Valor Moneda Local]]/$R$40</f>
        <v>0.1308537885366203</v>
      </c>
      <c r="X24" s="137">
        <f>Tabla14[[#This Row],[PESO DE CADA INVERSIÓN / TOTAL]]*Tabla14[[#This Row],[TNA Remarcada]]</f>
        <v>1.3412513325003581E-2</v>
      </c>
      <c r="Y24" s="201"/>
    </row>
    <row r="25" spans="1:25" s="106" customFormat="1" ht="15" customHeight="1">
      <c r="A25" s="109"/>
      <c r="B25" s="110" t="s">
        <v>177</v>
      </c>
      <c r="C25" s="110" t="s">
        <v>187</v>
      </c>
      <c r="D25" s="211">
        <f ca="1">Tabla14[[#This Row],[Vencimiento]]-TODAY()</f>
        <v>1629</v>
      </c>
      <c r="E25" s="65">
        <v>46177</v>
      </c>
      <c r="F25" s="83">
        <f ca="1">+TODAY()-Tabla14[[#This Row],[FECHA DE COMPRA]]</f>
        <v>131</v>
      </c>
      <c r="G25" s="84">
        <f ca="1">+Tabla14[[#This Row],[Valor Nominal]]*Tabla14[[#This Row],[DIAS EN CARTERA]]*Tabla14[[#This Row],[TNA Remarcada]]/365</f>
        <v>14212602.739726027</v>
      </c>
      <c r="H25" s="57" t="s">
        <v>87</v>
      </c>
      <c r="I25" s="86">
        <f ca="1">+Tabla14[[#This Row],[Vencimiento]]-TODAY()</f>
        <v>1629</v>
      </c>
      <c r="J25" s="88">
        <v>0.11</v>
      </c>
      <c r="K25" s="88">
        <v>0.11</v>
      </c>
      <c r="L25" s="89">
        <v>460</v>
      </c>
      <c r="M25" s="85" t="s">
        <v>28</v>
      </c>
      <c r="N25" s="77" t="s">
        <v>170</v>
      </c>
      <c r="O25" s="90">
        <v>1000000</v>
      </c>
      <c r="P25" s="90">
        <v>360000000</v>
      </c>
      <c r="Q25" s="98">
        <v>360000000</v>
      </c>
      <c r="R25" s="150">
        <f>+Tabla14[[#This Row],[Precio de Compra]]</f>
        <v>360000000</v>
      </c>
      <c r="S25" s="99"/>
      <c r="T25" s="99"/>
      <c r="U25" s="63">
        <v>47937</v>
      </c>
      <c r="V25" s="100" t="s">
        <v>62</v>
      </c>
      <c r="W25" s="104">
        <f>Tabla14[[#This Row],[Valor Moneda Local]]/$R$40</f>
        <v>4.66561750061927E-2</v>
      </c>
      <c r="X25" s="95">
        <f>Tabla14[[#This Row],[PESO DE CADA INVERSIÓN / TOTAL]]*Tabla14[[#This Row],[TNA Remarcada]]</f>
        <v>5.1321792506811969E-3</v>
      </c>
      <c r="Y25" s="201"/>
    </row>
    <row r="26" spans="1:25" s="106" customFormat="1" ht="15" customHeight="1">
      <c r="A26" s="109"/>
      <c r="B26" s="112" t="s">
        <v>177</v>
      </c>
      <c r="C26" s="112" t="s">
        <v>21</v>
      </c>
      <c r="D26" s="209">
        <f ca="1">Tabla14[[#This Row],[Vencimiento]]-TODAY()</f>
        <v>141</v>
      </c>
      <c r="E26" s="82">
        <v>46176</v>
      </c>
      <c r="F26" s="83">
        <f ca="1">+TODAY()-Tabla14[[#This Row],[FECHA DE COMPRA]]</f>
        <v>132</v>
      </c>
      <c r="G26" s="84">
        <f ca="1">+Tabla14[[#This Row],[Valor Nominal]]*Tabla14[[#This Row],[DIAS EN CARTERA]]*Tabla14[[#This Row],[TNA Remarcada]]/365</f>
        <v>1880547.9452054794</v>
      </c>
      <c r="H26" s="85" t="s">
        <v>80</v>
      </c>
      <c r="I26" s="86">
        <f ca="1">+Tabla14[[#This Row],[Vencimiento]]-TODAY()</f>
        <v>141</v>
      </c>
      <c r="J26" s="88">
        <v>0.105</v>
      </c>
      <c r="K26" s="88">
        <v>0.104</v>
      </c>
      <c r="L26" s="89">
        <v>1</v>
      </c>
      <c r="M26" s="85" t="s">
        <v>27</v>
      </c>
      <c r="N26" s="77" t="s">
        <v>170</v>
      </c>
      <c r="O26" s="90">
        <v>50000000</v>
      </c>
      <c r="P26" s="90">
        <v>50000000</v>
      </c>
      <c r="Q26" s="98">
        <v>50133853</v>
      </c>
      <c r="R26" s="148">
        <f>+Tabla14[[#This Row],[Precio de Compra]]</f>
        <v>50133853</v>
      </c>
      <c r="S26" s="99"/>
      <c r="T26" s="99"/>
      <c r="U26" s="93">
        <v>46449</v>
      </c>
      <c r="V26" s="100" t="s">
        <v>62</v>
      </c>
      <c r="W26" s="104">
        <f>Tabla14[[#This Row],[Valor Moneda Local]]/$R$40</f>
        <v>6.4973717202853861E-3</v>
      </c>
      <c r="X26" s="95">
        <f>Tabla14[[#This Row],[PESO DE CADA INVERSIÓN / TOTAL]]*Tabla14[[#This Row],[TNA Remarcada]]</f>
        <v>6.7572665890968016E-4</v>
      </c>
      <c r="Y26" s="201"/>
    </row>
    <row r="27" spans="1:25" s="106" customFormat="1" ht="15" customHeight="1">
      <c r="A27" s="109"/>
      <c r="B27" s="113" t="s">
        <v>58</v>
      </c>
      <c r="C27" s="113" t="s">
        <v>186</v>
      </c>
      <c r="D27" s="211">
        <f ca="1">Tabla14[[#This Row],[Vencimiento]]-TODAY()</f>
        <v>2270</v>
      </c>
      <c r="E27" s="82">
        <v>46148</v>
      </c>
      <c r="F27" s="83">
        <f ca="1">+TODAY()-Tabla14[[#This Row],[FECHA DE COMPRA]]</f>
        <v>160</v>
      </c>
      <c r="G27" s="84">
        <f ca="1">+Tabla14[[#This Row],[Valor Nominal]]*Tabla14[[#This Row],[DIAS EN CARTERA]]*Tabla14[[#This Row],[TNA Remarcada]]/365</f>
        <v>5834038.3561643837</v>
      </c>
      <c r="H27" s="85" t="s">
        <v>76</v>
      </c>
      <c r="I27" s="86">
        <f ca="1">+Tabla14[[#This Row],[Vencimiento]]-TODAY()</f>
        <v>2270</v>
      </c>
      <c r="J27" s="87">
        <v>0.12</v>
      </c>
      <c r="K27" s="88">
        <v>0.11990000000000001</v>
      </c>
      <c r="L27" s="89">
        <v>111</v>
      </c>
      <c r="M27" s="85" t="s">
        <v>48</v>
      </c>
      <c r="N27" s="138" t="s">
        <v>170</v>
      </c>
      <c r="O27" s="90">
        <v>1000000</v>
      </c>
      <c r="P27" s="90">
        <v>111000000</v>
      </c>
      <c r="Q27" s="91">
        <v>116036055</v>
      </c>
      <c r="R27" s="89">
        <f>+Tabla14[[#This Row],[Precio de Compra]]</f>
        <v>116036055</v>
      </c>
      <c r="S27" s="92"/>
      <c r="T27" s="92"/>
      <c r="U27" s="93">
        <v>48578</v>
      </c>
      <c r="V27" s="100" t="s">
        <v>61</v>
      </c>
      <c r="W27" s="139">
        <f>Tabla14[[#This Row],[Valor Moneda Local]]/$R$40</f>
        <v>1.5038329136411671E-2</v>
      </c>
      <c r="X27" s="140">
        <f>Tabla14[[#This Row],[PESO DE CADA INVERSIÓN / TOTAL]]*Tabla14[[#This Row],[TNA Remarcada]]</f>
        <v>1.8030956634557595E-3</v>
      </c>
      <c r="Y27" s="96"/>
    </row>
    <row r="28" spans="1:25" s="106" customFormat="1" ht="15" customHeight="1">
      <c r="A28" s="109"/>
      <c r="B28" s="127" t="s">
        <v>65</v>
      </c>
      <c r="C28" s="127" t="s">
        <v>21</v>
      </c>
      <c r="D28" s="208">
        <f ca="1">Tabla14[[#This Row],[Vencimiento]]-TODAY()</f>
        <v>562</v>
      </c>
      <c r="E28" s="128">
        <v>46139</v>
      </c>
      <c r="F28" s="129">
        <f ca="1">+TODAY()-Tabla14[[#This Row],[FECHA DE COMPRA]]</f>
        <v>169</v>
      </c>
      <c r="G28" s="116">
        <f ca="1">+Tabla14[[#This Row],[Valor Nominal]]*Tabla14[[#This Row],[DIAS EN CARTERA]]*Tabla14[[#This Row],[TNA Remarcada]]/365</f>
        <v>4815342.4657534249</v>
      </c>
      <c r="H28" s="130" t="s">
        <v>66</v>
      </c>
      <c r="I28" s="131">
        <f ca="1">+Tabla14[[#This Row],[Vencimiento]]-TODAY()</f>
        <v>562</v>
      </c>
      <c r="J28" s="218">
        <v>0.104</v>
      </c>
      <c r="K28" s="218">
        <v>0.104</v>
      </c>
      <c r="L28" s="132">
        <v>1</v>
      </c>
      <c r="M28" s="130" t="s">
        <v>27</v>
      </c>
      <c r="N28" s="117" t="s">
        <v>170</v>
      </c>
      <c r="O28" s="133">
        <v>100000000</v>
      </c>
      <c r="P28" s="133">
        <v>100000000</v>
      </c>
      <c r="Q28" s="134">
        <v>100000000</v>
      </c>
      <c r="R28" s="132">
        <f>+Tabla14[[#This Row],[Precio de Compra]]</f>
        <v>100000000</v>
      </c>
      <c r="S28" s="222" t="s">
        <v>60</v>
      </c>
      <c r="T28" s="222" t="s">
        <v>173</v>
      </c>
      <c r="U28" s="135">
        <v>46870</v>
      </c>
      <c r="V28" s="136" t="s">
        <v>77</v>
      </c>
      <c r="W28" s="119">
        <f>Tabla14[[#This Row],[Valor Moneda Local]]/$R$40</f>
        <v>1.2960048612831305E-2</v>
      </c>
      <c r="X28" s="229">
        <f>Tabla14[[#This Row],[PESO DE CADA INVERSIÓN / TOTAL]]*Tabla14[[#This Row],[TNA Remarcada]]</f>
        <v>1.3478450557344555E-3</v>
      </c>
      <c r="Y28" s="97"/>
    </row>
    <row r="29" spans="1:25" s="106" customFormat="1" ht="15" customHeight="1">
      <c r="A29" s="109"/>
      <c r="B29" s="127" t="s">
        <v>65</v>
      </c>
      <c r="C29" s="127" t="s">
        <v>21</v>
      </c>
      <c r="D29" s="208">
        <f ca="1">Tabla14[[#This Row],[Vencimiento]]-TODAY()</f>
        <v>562</v>
      </c>
      <c r="E29" s="128">
        <v>46139</v>
      </c>
      <c r="F29" s="129">
        <f ca="1">+TODAY()-Tabla14[[#This Row],[FECHA DE COMPRA]]</f>
        <v>169</v>
      </c>
      <c r="G29" s="116">
        <f ca="1">+Tabla14[[#This Row],[Valor Nominal]]*Tabla14[[#This Row],[DIAS EN CARTERA]]*Tabla14[[#This Row],[TNA Remarcada]]/365</f>
        <v>4815342.4657534249</v>
      </c>
      <c r="H29" s="130" t="s">
        <v>67</v>
      </c>
      <c r="I29" s="131">
        <f ca="1">+Tabla14[[#This Row],[Vencimiento]]-TODAY()</f>
        <v>562</v>
      </c>
      <c r="J29" s="218">
        <v>0.104</v>
      </c>
      <c r="K29" s="218">
        <v>0.104</v>
      </c>
      <c r="L29" s="132">
        <v>1</v>
      </c>
      <c r="M29" s="130" t="s">
        <v>27</v>
      </c>
      <c r="N29" s="117" t="s">
        <v>170</v>
      </c>
      <c r="O29" s="133">
        <v>100000000</v>
      </c>
      <c r="P29" s="133">
        <v>100000000</v>
      </c>
      <c r="Q29" s="134">
        <v>100000000</v>
      </c>
      <c r="R29" s="132">
        <f>+Tabla14[[#This Row],[Precio de Compra]]</f>
        <v>100000000</v>
      </c>
      <c r="S29" s="222" t="s">
        <v>60</v>
      </c>
      <c r="T29" s="222" t="s">
        <v>173</v>
      </c>
      <c r="U29" s="135">
        <v>46870</v>
      </c>
      <c r="V29" s="136" t="s">
        <v>77</v>
      </c>
      <c r="W29" s="119">
        <f>Tabla14[[#This Row],[Valor Moneda Local]]/$R$40</f>
        <v>1.2960048612831305E-2</v>
      </c>
      <c r="X29" s="229">
        <f>Tabla14[[#This Row],[PESO DE CADA INVERSIÓN / TOTAL]]*Tabla14[[#This Row],[TNA Remarcada]]</f>
        <v>1.3478450557344555E-3</v>
      </c>
      <c r="Y29" s="97"/>
    </row>
    <row r="30" spans="1:25" s="106" customFormat="1" ht="15" customHeight="1">
      <c r="A30" s="109"/>
      <c r="B30" s="127" t="s">
        <v>65</v>
      </c>
      <c r="C30" s="127" t="s">
        <v>21</v>
      </c>
      <c r="D30" s="208">
        <f ca="1">Tabla14[[#This Row],[Vencimiento]]-TODAY()</f>
        <v>562</v>
      </c>
      <c r="E30" s="128">
        <v>46139</v>
      </c>
      <c r="F30" s="129">
        <f ca="1">+TODAY()-Tabla14[[#This Row],[FECHA DE COMPRA]]</f>
        <v>169</v>
      </c>
      <c r="G30" s="116">
        <f ca="1">+Tabla14[[#This Row],[Valor Nominal]]*Tabla14[[#This Row],[DIAS EN CARTERA]]*Tabla14[[#This Row],[TNA Remarcada]]/365</f>
        <v>4815342.4657534249</v>
      </c>
      <c r="H30" s="130" t="s">
        <v>68</v>
      </c>
      <c r="I30" s="131">
        <f ca="1">+Tabla14[[#This Row],[Vencimiento]]-TODAY()</f>
        <v>562</v>
      </c>
      <c r="J30" s="218">
        <v>0.104</v>
      </c>
      <c r="K30" s="218">
        <v>0.104</v>
      </c>
      <c r="L30" s="132">
        <v>1</v>
      </c>
      <c r="M30" s="130" t="s">
        <v>27</v>
      </c>
      <c r="N30" s="117" t="s">
        <v>170</v>
      </c>
      <c r="O30" s="133">
        <v>100000000</v>
      </c>
      <c r="P30" s="133">
        <v>100000000</v>
      </c>
      <c r="Q30" s="134">
        <v>100000000</v>
      </c>
      <c r="R30" s="132">
        <f>+Tabla14[[#This Row],[Precio de Compra]]</f>
        <v>100000000</v>
      </c>
      <c r="S30" s="222" t="s">
        <v>60</v>
      </c>
      <c r="T30" s="222" t="s">
        <v>173</v>
      </c>
      <c r="U30" s="135">
        <v>46870</v>
      </c>
      <c r="V30" s="136" t="s">
        <v>77</v>
      </c>
      <c r="W30" s="119">
        <f>Tabla14[[#This Row],[Valor Moneda Local]]/$R$40</f>
        <v>1.2960048612831305E-2</v>
      </c>
      <c r="X30" s="229">
        <f>Tabla14[[#This Row],[PESO DE CADA INVERSIÓN / TOTAL]]*Tabla14[[#This Row],[TNA Remarcada]]</f>
        <v>1.3478450557344555E-3</v>
      </c>
      <c r="Y30" s="97"/>
    </row>
    <row r="31" spans="1:25" s="106" customFormat="1" ht="15" customHeight="1">
      <c r="A31" s="109"/>
      <c r="B31" s="127" t="s">
        <v>65</v>
      </c>
      <c r="C31" s="127" t="s">
        <v>21</v>
      </c>
      <c r="D31" s="208">
        <f ca="1">Tabla14[[#This Row],[Vencimiento]]-TODAY()</f>
        <v>562</v>
      </c>
      <c r="E31" s="128">
        <v>46139</v>
      </c>
      <c r="F31" s="129">
        <f ca="1">+TODAY()-Tabla14[[#This Row],[FECHA DE COMPRA]]</f>
        <v>169</v>
      </c>
      <c r="G31" s="116">
        <f ca="1">+Tabla14[[#This Row],[Valor Nominal]]*Tabla14[[#This Row],[DIAS EN CARTERA]]*Tabla14[[#This Row],[TNA Remarcada]]/365</f>
        <v>4815342.4657534249</v>
      </c>
      <c r="H31" s="130" t="s">
        <v>69</v>
      </c>
      <c r="I31" s="131">
        <f ca="1">+Tabla14[[#This Row],[Vencimiento]]-TODAY()</f>
        <v>562</v>
      </c>
      <c r="J31" s="218">
        <v>0.104</v>
      </c>
      <c r="K31" s="218">
        <v>0.104</v>
      </c>
      <c r="L31" s="132">
        <v>1</v>
      </c>
      <c r="M31" s="130" t="s">
        <v>27</v>
      </c>
      <c r="N31" s="117" t="s">
        <v>170</v>
      </c>
      <c r="O31" s="133">
        <v>100000000</v>
      </c>
      <c r="P31" s="133">
        <v>100000000</v>
      </c>
      <c r="Q31" s="134">
        <v>100000000</v>
      </c>
      <c r="R31" s="132">
        <f>+Tabla14[[#This Row],[Precio de Compra]]</f>
        <v>100000000</v>
      </c>
      <c r="S31" s="222" t="s">
        <v>60</v>
      </c>
      <c r="T31" s="222" t="s">
        <v>173</v>
      </c>
      <c r="U31" s="135">
        <v>46870</v>
      </c>
      <c r="V31" s="136" t="s">
        <v>77</v>
      </c>
      <c r="W31" s="119">
        <f>Tabla14[[#This Row],[Valor Moneda Local]]/$R$40</f>
        <v>1.2960048612831305E-2</v>
      </c>
      <c r="X31" s="229">
        <f>Tabla14[[#This Row],[PESO DE CADA INVERSIÓN / TOTAL]]*Tabla14[[#This Row],[TNA Remarcada]]</f>
        <v>1.3478450557344555E-3</v>
      </c>
      <c r="Y31" s="97"/>
    </row>
    <row r="32" spans="1:25" s="106" customFormat="1" ht="15" customHeight="1">
      <c r="A32" s="109"/>
      <c r="B32" s="127" t="s">
        <v>65</v>
      </c>
      <c r="C32" s="127" t="s">
        <v>21</v>
      </c>
      <c r="D32" s="208">
        <f ca="1">Tabla14[[#This Row],[Vencimiento]]-TODAY()</f>
        <v>562</v>
      </c>
      <c r="E32" s="128">
        <v>46139</v>
      </c>
      <c r="F32" s="129">
        <f ca="1">+TODAY()-Tabla14[[#This Row],[FECHA DE COMPRA]]</f>
        <v>169</v>
      </c>
      <c r="G32" s="116">
        <f ca="1">+Tabla14[[#This Row],[Valor Nominal]]*Tabla14[[#This Row],[DIAS EN CARTERA]]*Tabla14[[#This Row],[TNA Remarcada]]/365</f>
        <v>4815342.4657534249</v>
      </c>
      <c r="H32" s="130" t="s">
        <v>70</v>
      </c>
      <c r="I32" s="131">
        <f ca="1">+Tabla14[[#This Row],[Vencimiento]]-TODAY()</f>
        <v>562</v>
      </c>
      <c r="J32" s="218">
        <v>0.104</v>
      </c>
      <c r="K32" s="218">
        <v>0.104</v>
      </c>
      <c r="L32" s="132">
        <v>1</v>
      </c>
      <c r="M32" s="130" t="s">
        <v>27</v>
      </c>
      <c r="N32" s="117" t="s">
        <v>170</v>
      </c>
      <c r="O32" s="133">
        <v>100000000</v>
      </c>
      <c r="P32" s="133">
        <v>100000000</v>
      </c>
      <c r="Q32" s="134">
        <v>100000000</v>
      </c>
      <c r="R32" s="132">
        <f>+Tabla14[[#This Row],[Precio de Compra]]</f>
        <v>100000000</v>
      </c>
      <c r="S32" s="222" t="s">
        <v>60</v>
      </c>
      <c r="T32" s="222" t="s">
        <v>173</v>
      </c>
      <c r="U32" s="135">
        <v>46870</v>
      </c>
      <c r="V32" s="136" t="s">
        <v>77</v>
      </c>
      <c r="W32" s="119">
        <f>Tabla14[[#This Row],[Valor Moneda Local]]/$R$40</f>
        <v>1.2960048612831305E-2</v>
      </c>
      <c r="X32" s="229">
        <f>Tabla14[[#This Row],[PESO DE CADA INVERSIÓN / TOTAL]]*Tabla14[[#This Row],[TNA Remarcada]]</f>
        <v>1.3478450557344555E-3</v>
      </c>
      <c r="Y32" s="97"/>
    </row>
    <row r="33" spans="1:26" s="106" customFormat="1" ht="15" customHeight="1">
      <c r="A33" s="109"/>
      <c r="B33" s="127" t="s">
        <v>65</v>
      </c>
      <c r="C33" s="127" t="s">
        <v>21</v>
      </c>
      <c r="D33" s="208">
        <f ca="1">Tabla14[[#This Row],[Vencimiento]]-TODAY()</f>
        <v>562</v>
      </c>
      <c r="E33" s="128">
        <v>46139</v>
      </c>
      <c r="F33" s="129">
        <f ca="1">+TODAY()-Tabla14[[#This Row],[FECHA DE COMPRA]]</f>
        <v>169</v>
      </c>
      <c r="G33" s="116">
        <f ca="1">+Tabla14[[#This Row],[Valor Nominal]]*Tabla14[[#This Row],[DIAS EN CARTERA]]*Tabla14[[#This Row],[TNA Remarcada]]/365</f>
        <v>4815342.4657534249</v>
      </c>
      <c r="H33" s="130" t="s">
        <v>71</v>
      </c>
      <c r="I33" s="131">
        <f ca="1">+Tabla14[[#This Row],[Vencimiento]]-TODAY()</f>
        <v>562</v>
      </c>
      <c r="J33" s="218">
        <v>0.104</v>
      </c>
      <c r="K33" s="218">
        <v>0.104</v>
      </c>
      <c r="L33" s="132">
        <v>1</v>
      </c>
      <c r="M33" s="130" t="s">
        <v>27</v>
      </c>
      <c r="N33" s="117" t="s">
        <v>170</v>
      </c>
      <c r="O33" s="133">
        <v>100000000</v>
      </c>
      <c r="P33" s="133">
        <v>100000000</v>
      </c>
      <c r="Q33" s="134">
        <v>100000000</v>
      </c>
      <c r="R33" s="132">
        <f>+Tabla14[[#This Row],[Precio de Compra]]</f>
        <v>100000000</v>
      </c>
      <c r="S33" s="222" t="s">
        <v>60</v>
      </c>
      <c r="T33" s="222" t="s">
        <v>173</v>
      </c>
      <c r="U33" s="135">
        <v>46870</v>
      </c>
      <c r="V33" s="136" t="s">
        <v>77</v>
      </c>
      <c r="W33" s="119">
        <f>Tabla14[[#This Row],[Valor Moneda Local]]/$R$40</f>
        <v>1.2960048612831305E-2</v>
      </c>
      <c r="X33" s="229">
        <f>Tabla14[[#This Row],[PESO DE CADA INVERSIÓN / TOTAL]]*Tabla14[[#This Row],[TNA Remarcada]]</f>
        <v>1.3478450557344555E-3</v>
      </c>
      <c r="Y33" s="97"/>
    </row>
    <row r="34" spans="1:26" s="106" customFormat="1" ht="15" customHeight="1">
      <c r="A34" s="109"/>
      <c r="B34" s="127" t="s">
        <v>65</v>
      </c>
      <c r="C34" s="127" t="s">
        <v>21</v>
      </c>
      <c r="D34" s="208">
        <f ca="1">Tabla14[[#This Row],[Vencimiento]]-TODAY()</f>
        <v>562</v>
      </c>
      <c r="E34" s="128">
        <v>46139</v>
      </c>
      <c r="F34" s="129">
        <f ca="1">+TODAY()-Tabla14[[#This Row],[FECHA DE COMPRA]]</f>
        <v>169</v>
      </c>
      <c r="G34" s="116">
        <f ca="1">+Tabla14[[#This Row],[Valor Nominal]]*Tabla14[[#This Row],[DIAS EN CARTERA]]*Tabla14[[#This Row],[TNA Remarcada]]/365</f>
        <v>4815342.4657534249</v>
      </c>
      <c r="H34" s="130" t="s">
        <v>72</v>
      </c>
      <c r="I34" s="131">
        <f ca="1">+Tabla14[[#This Row],[Vencimiento]]-TODAY()</f>
        <v>562</v>
      </c>
      <c r="J34" s="218">
        <v>0.104</v>
      </c>
      <c r="K34" s="218">
        <v>0.104</v>
      </c>
      <c r="L34" s="132">
        <v>1</v>
      </c>
      <c r="M34" s="130" t="s">
        <v>27</v>
      </c>
      <c r="N34" s="117" t="s">
        <v>170</v>
      </c>
      <c r="O34" s="133">
        <v>100000000</v>
      </c>
      <c r="P34" s="133">
        <v>100000000</v>
      </c>
      <c r="Q34" s="134">
        <v>100000000</v>
      </c>
      <c r="R34" s="132">
        <f>+Tabla14[[#This Row],[Precio de Compra]]</f>
        <v>100000000</v>
      </c>
      <c r="S34" s="222" t="s">
        <v>60</v>
      </c>
      <c r="T34" s="222" t="s">
        <v>173</v>
      </c>
      <c r="U34" s="135">
        <v>46870</v>
      </c>
      <c r="V34" s="136" t="s">
        <v>77</v>
      </c>
      <c r="W34" s="119">
        <f>Tabla14[[#This Row],[Valor Moneda Local]]/$R$40</f>
        <v>1.2960048612831305E-2</v>
      </c>
      <c r="X34" s="229">
        <f>Tabla14[[#This Row],[PESO DE CADA INVERSIÓN / TOTAL]]*Tabla14[[#This Row],[TNA Remarcada]]</f>
        <v>1.3478450557344555E-3</v>
      </c>
      <c r="Y34" s="97"/>
    </row>
    <row r="35" spans="1:26" s="106" customFormat="1" ht="15" customHeight="1">
      <c r="A35" s="109"/>
      <c r="B35" s="112" t="s">
        <v>65</v>
      </c>
      <c r="C35" s="112" t="s">
        <v>21</v>
      </c>
      <c r="D35" s="209">
        <f ca="1">Tabla14[[#This Row],[Vencimiento]]-TODAY()</f>
        <v>562</v>
      </c>
      <c r="E35" s="82">
        <v>46139</v>
      </c>
      <c r="F35" s="83">
        <f ca="1">+TODAY()-Tabla14[[#This Row],[FECHA DE COMPRA]]</f>
        <v>169</v>
      </c>
      <c r="G35" s="84">
        <f ca="1">+Tabla14[[#This Row],[Valor Nominal]]*Tabla14[[#This Row],[DIAS EN CARTERA]]*Tabla14[[#This Row],[TNA Remarcada]]/365</f>
        <v>4815342.4657534249</v>
      </c>
      <c r="H35" s="85" t="s">
        <v>73</v>
      </c>
      <c r="I35" s="86">
        <f ca="1">+Tabla14[[#This Row],[Vencimiento]]-TODAY()</f>
        <v>562</v>
      </c>
      <c r="J35" s="101">
        <v>0.104</v>
      </c>
      <c r="K35" s="101">
        <v>0.104</v>
      </c>
      <c r="L35" s="89">
        <v>1</v>
      </c>
      <c r="M35" s="85" t="s">
        <v>27</v>
      </c>
      <c r="N35" s="138" t="s">
        <v>170</v>
      </c>
      <c r="O35" s="90">
        <v>100000000</v>
      </c>
      <c r="P35" s="90">
        <v>100000000</v>
      </c>
      <c r="Q35" s="98">
        <v>100000000</v>
      </c>
      <c r="R35" s="148">
        <f>+Tabla14[[#This Row],[Precio de Compra]]</f>
        <v>100000000</v>
      </c>
      <c r="S35" s="223"/>
      <c r="T35" s="223"/>
      <c r="U35" s="93">
        <v>46870</v>
      </c>
      <c r="V35" s="100" t="s">
        <v>77</v>
      </c>
      <c r="W35" s="139">
        <f>Tabla14[[#This Row],[Valor Moneda Local]]/$R$40</f>
        <v>1.2960048612831305E-2</v>
      </c>
      <c r="X35" s="140">
        <f>Tabla14[[#This Row],[PESO DE CADA INVERSIÓN / TOTAL]]*Tabla14[[#This Row],[TNA Remarcada]]</f>
        <v>1.3478450557344555E-3</v>
      </c>
      <c r="Y35" s="97"/>
    </row>
    <row r="36" spans="1:26" s="106" customFormat="1" ht="15" customHeight="1">
      <c r="A36" s="109"/>
      <c r="B36" s="110" t="s">
        <v>177</v>
      </c>
      <c r="C36" s="110" t="s">
        <v>187</v>
      </c>
      <c r="D36" s="211">
        <f ca="1">Tabla14[[#This Row],[Vencimiento]]-TODAY()</f>
        <v>111</v>
      </c>
      <c r="E36" s="65">
        <v>46090</v>
      </c>
      <c r="F36" s="58">
        <f ca="1">+TODAY()-Tabla14[[#This Row],[FECHA DE COMPRA]]</f>
        <v>218</v>
      </c>
      <c r="G36" s="59">
        <f ca="1">+Tabla14[[#This Row],[Valor Nominal]]*Tabla14[[#This Row],[DIAS EN CARTERA]]*Tabla14[[#This Row],[TNA Remarcada]]/365</f>
        <v>8651613.6986301374</v>
      </c>
      <c r="H36" s="57" t="s">
        <v>32</v>
      </c>
      <c r="I36" s="79">
        <f ca="1">+Tabla14[[#This Row],[Vencimiento]]-TODAY()</f>
        <v>111</v>
      </c>
      <c r="J36" s="64">
        <v>0.105</v>
      </c>
      <c r="K36" s="64">
        <v>0.10730000000000001</v>
      </c>
      <c r="L36" s="60">
        <v>135</v>
      </c>
      <c r="M36" s="57" t="s">
        <v>28</v>
      </c>
      <c r="N36" s="138" t="s">
        <v>170</v>
      </c>
      <c r="O36" s="61">
        <v>1000000</v>
      </c>
      <c r="P36" s="90">
        <v>135000000</v>
      </c>
      <c r="Q36" s="61">
        <v>135000000</v>
      </c>
      <c r="R36" s="60">
        <f>+Tabla14[[#This Row],[Precio de Compra]]</f>
        <v>135000000</v>
      </c>
      <c r="S36" s="62"/>
      <c r="T36" s="62"/>
      <c r="U36" s="63">
        <v>46419</v>
      </c>
      <c r="V36" s="75" t="s">
        <v>62</v>
      </c>
      <c r="W36" s="139">
        <f>Tabla14[[#This Row],[Valor Moneda Local]]/$R$40</f>
        <v>1.7496065627322262E-2</v>
      </c>
      <c r="X36" s="224">
        <f>Tabla14[[#This Row],[PESO DE CADA INVERSIÓN / TOTAL]]*Tabla14[[#This Row],[TNA Remarcada]]</f>
        <v>1.8773278418116788E-3</v>
      </c>
      <c r="Y36" s="96"/>
    </row>
    <row r="37" spans="1:26" s="106" customFormat="1" ht="15" customHeight="1">
      <c r="A37" s="109"/>
      <c r="B37" s="110" t="s">
        <v>56</v>
      </c>
      <c r="C37" s="110" t="s">
        <v>187</v>
      </c>
      <c r="D37" s="211">
        <f ca="1">Tabla14[[#This Row],[Vencimiento]]-TODAY()</f>
        <v>859</v>
      </c>
      <c r="E37" s="65">
        <v>46087</v>
      </c>
      <c r="F37" s="58">
        <f ca="1">+TODAY()-Tabla14[[#This Row],[FECHA DE COMPRA]]</f>
        <v>221</v>
      </c>
      <c r="G37" s="59">
        <f ca="1">+Tabla14[[#This Row],[Valor Nominal]]*Tabla14[[#This Row],[DIAS EN CARTERA]]*Tabla14[[#This Row],[TNA Remarcada]]/365</f>
        <v>1695342.4657534247</v>
      </c>
      <c r="H37" s="57" t="s">
        <v>176</v>
      </c>
      <c r="I37" s="79">
        <f ca="1">+Tabla14[[#This Row],[Vencimiento]]-TODAY()</f>
        <v>859</v>
      </c>
      <c r="J37" s="64">
        <v>0.10349999999999999</v>
      </c>
      <c r="K37" s="64">
        <v>0.1</v>
      </c>
      <c r="L37" s="60">
        <v>28</v>
      </c>
      <c r="M37" s="57" t="s">
        <v>48</v>
      </c>
      <c r="N37" s="138" t="s">
        <v>170</v>
      </c>
      <c r="O37" s="61">
        <v>1000000</v>
      </c>
      <c r="P37" s="90">
        <f>+Tabla14[[#This Row],[Valor por Corte]]*Tabla14[[#This Row],[Cantidad]]</f>
        <v>28000000</v>
      </c>
      <c r="Q37" s="61">
        <f>+Tabla14[[#This Row],[Valor por Corte]]*Tabla14[[#This Row],[Cantidad]]</f>
        <v>28000000</v>
      </c>
      <c r="R37" s="60">
        <f>+Tabla14[[#This Row],[Precio de Compra]]</f>
        <v>28000000</v>
      </c>
      <c r="S37" s="62"/>
      <c r="T37" s="62"/>
      <c r="U37" s="63">
        <v>47167</v>
      </c>
      <c r="V37" s="17" t="s">
        <v>61</v>
      </c>
      <c r="W37" s="139">
        <f>Tabla14[[#This Row],[Valor Moneda Local]]/$R$40</f>
        <v>3.6288136115927654E-3</v>
      </c>
      <c r="X37" s="224">
        <f>Tabla14[[#This Row],[PESO DE CADA INVERSIÓN / TOTAL]]*Tabla14[[#This Row],[TNA Remarcada]]</f>
        <v>3.6288136115927654E-4</v>
      </c>
      <c r="Y37" s="96"/>
    </row>
    <row r="38" spans="1:26" s="106" customFormat="1" ht="15" customHeight="1">
      <c r="A38" s="109"/>
      <c r="B38" s="213" t="s">
        <v>56</v>
      </c>
      <c r="C38" s="213" t="s">
        <v>187</v>
      </c>
      <c r="D38" s="208">
        <f ca="1">Tabla14[[#This Row],[Vencimiento]]-TODAY()</f>
        <v>526</v>
      </c>
      <c r="E38" s="114">
        <v>46052</v>
      </c>
      <c r="F38" s="115">
        <f ca="1">+TODAY()-Tabla14[[#This Row],[FECHA DE COMPRA]]</f>
        <v>256</v>
      </c>
      <c r="G38" s="116">
        <f ca="1">+Tabla14[[#This Row],[Valor Nominal]]*Tabla14[[#This Row],[DIAS EN CARTERA]]*Tabla14[[#This Row],[TNA Remarcada]]/365</f>
        <v>42909808.219178088</v>
      </c>
      <c r="H38" s="117" t="s">
        <v>64</v>
      </c>
      <c r="I38" s="118">
        <f ca="1">+Tabla14[[#This Row],[Vencimiento]]-TODAY()</f>
        <v>526</v>
      </c>
      <c r="J38" s="119">
        <v>7.9500000000000001E-2</v>
      </c>
      <c r="K38" s="119">
        <v>7.0000000000000007E-2</v>
      </c>
      <c r="L38" s="120">
        <v>874</v>
      </c>
      <c r="M38" s="117" t="s">
        <v>27</v>
      </c>
      <c r="N38" s="117" t="s">
        <v>170</v>
      </c>
      <c r="O38" s="120">
        <v>1000000</v>
      </c>
      <c r="P38" s="120">
        <v>874000000</v>
      </c>
      <c r="Q38" s="122">
        <v>897474682</v>
      </c>
      <c r="R38" s="132">
        <f>+Tabla14[[#This Row],[Precio de Compra]]</f>
        <v>897474682</v>
      </c>
      <c r="S38" s="222" t="s">
        <v>60</v>
      </c>
      <c r="T38" s="222" t="s">
        <v>173</v>
      </c>
      <c r="U38" s="123">
        <v>46834</v>
      </c>
      <c r="V38" s="126" t="s">
        <v>57</v>
      </c>
      <c r="W38" s="119">
        <f>Tabla14[[#This Row],[Valor Moneda Local]]/$R$40</f>
        <v>0.11631315507505317</v>
      </c>
      <c r="X38" s="147">
        <f>Tabla14[[#This Row],[PESO DE CADA INVERSIÓN / TOTAL]]*Tabla14[[#This Row],[TNA Remarcada]]</f>
        <v>8.1419208552537224E-3</v>
      </c>
      <c r="Y38" s="97"/>
    </row>
    <row r="39" spans="1:26" s="106" customFormat="1" ht="15" customHeight="1">
      <c r="A39" s="109"/>
      <c r="B39" s="125" t="s">
        <v>58</v>
      </c>
      <c r="C39" s="125" t="s">
        <v>186</v>
      </c>
      <c r="D39" s="208">
        <f ca="1">Tabla14[[#This Row],[Vencimiento]]-TODAY()</f>
        <v>1721</v>
      </c>
      <c r="E39" s="228">
        <v>46009</v>
      </c>
      <c r="F39" s="115">
        <f ca="1">+TODAY()-Tabla14[[#This Row],[FECHA DE COMPRA]]</f>
        <v>299</v>
      </c>
      <c r="G39" s="116">
        <f ca="1">+Tabla14[[#This Row],[Valor Nominal]]*Tabla14[[#This Row],[DIAS EN CARTERA]]*Tabla14[[#This Row],[TNA Remarcada]]/365</f>
        <v>54475342.465753421</v>
      </c>
      <c r="H39" s="117" t="s">
        <v>31</v>
      </c>
      <c r="I39" s="118">
        <f ca="1">+Tabla14[[#This Row],[Vencimiento]]-TODAY()</f>
        <v>1721</v>
      </c>
      <c r="J39" s="119">
        <v>8.8999999999999996E-2</v>
      </c>
      <c r="K39" s="119">
        <v>7.0000000000000007E-2</v>
      </c>
      <c r="L39" s="120">
        <v>950</v>
      </c>
      <c r="M39" s="117" t="s">
        <v>28</v>
      </c>
      <c r="N39" s="117" t="s">
        <v>170</v>
      </c>
      <c r="O39" s="120">
        <v>1000000</v>
      </c>
      <c r="P39" s="120">
        <v>950000000</v>
      </c>
      <c r="Q39" s="122">
        <v>1032460000</v>
      </c>
      <c r="R39" s="132">
        <f>+Tabla14[[#This Row],[Precio de Compra]]</f>
        <v>1032460000</v>
      </c>
      <c r="S39" s="222" t="s">
        <v>60</v>
      </c>
      <c r="T39" s="222" t="s">
        <v>173</v>
      </c>
      <c r="U39" s="123">
        <v>48029</v>
      </c>
      <c r="V39" s="123" t="s">
        <v>61</v>
      </c>
      <c r="W39" s="119">
        <f>Tabla14[[#This Row],[Valor Moneda Local]]/$R$40</f>
        <v>0.1338073179080381</v>
      </c>
      <c r="X39" s="147">
        <f>Tabla14[[#This Row],[PESO DE CADA INVERSIÓN / TOTAL]]*Tabla14[[#This Row],[TNA Remarcada]]</f>
        <v>9.3665122535626678E-3</v>
      </c>
      <c r="Y39" s="97"/>
    </row>
    <row r="40" spans="1:26" s="106" customFormat="1">
      <c r="A40" s="109"/>
      <c r="B40" s="24" t="s">
        <v>43</v>
      </c>
      <c r="C40" s="24"/>
      <c r="D40" s="24"/>
      <c r="E40" s="24"/>
      <c r="F40" s="24"/>
      <c r="G40" s="24"/>
      <c r="H40" s="35">
        <f>SUM(R3:R39)</f>
        <v>7716020440</v>
      </c>
      <c r="I40" s="4"/>
      <c r="J40" s="4"/>
      <c r="K40" s="34"/>
      <c r="L40" s="4"/>
      <c r="M40" s="4"/>
      <c r="N40" s="4"/>
      <c r="O40" s="4"/>
      <c r="P40" s="234">
        <f>SUBTOTAL(109,[1]!Tabla1[Valor Nominal])</f>
        <v>7394656214</v>
      </c>
      <c r="Q40" s="233">
        <f>SUBTOTAL(109,[1]!Tabla1[Precio de Compra])</f>
        <v>7716020440</v>
      </c>
      <c r="R40" s="320">
        <f>SUM(R3:R39)</f>
        <v>7716020440</v>
      </c>
      <c r="S40" s="36"/>
      <c r="T40" s="4"/>
      <c r="U40" s="4"/>
      <c r="V40" s="4"/>
      <c r="W40" s="38" t="s">
        <v>212</v>
      </c>
      <c r="X40" s="4"/>
      <c r="Y40" s="4"/>
    </row>
    <row r="41" spans="1:26" ht="19.5" thickBot="1">
      <c r="B41" s="4"/>
      <c r="C41" s="4"/>
      <c r="D41" s="4"/>
      <c r="E41" s="4"/>
      <c r="F41" s="206"/>
      <c r="G41" s="4"/>
      <c r="H41" s="4"/>
      <c r="I41" s="4"/>
      <c r="J41" s="4"/>
      <c r="L41" s="4"/>
      <c r="M41" s="4"/>
      <c r="O41" s="4" t="s">
        <v>164</v>
      </c>
      <c r="P41" s="4"/>
      <c r="Q41" s="4"/>
      <c r="R41" s="2"/>
      <c r="S41" s="2"/>
      <c r="T41" s="4"/>
      <c r="U41" s="4"/>
      <c r="V41" s="4"/>
      <c r="W41" s="254">
        <f>SUM(W3:W40)</f>
        <v>0.99999999999999978</v>
      </c>
      <c r="X41" s="154">
        <f>SUM(W3:W40)</f>
        <v>0.99999999999999978</v>
      </c>
      <c r="Y41" s="156">
        <f>SUM(X3:X40)</f>
        <v>9.7553767404626013E-2</v>
      </c>
      <c r="Z41" s="2"/>
    </row>
    <row r="42" spans="1:26" ht="25.5" customHeight="1">
      <c r="B42" s="4"/>
      <c r="C42" s="4"/>
      <c r="D42" s="4"/>
      <c r="E42" s="4"/>
      <c r="F42" s="4"/>
      <c r="G42" s="4"/>
      <c r="H42" s="2"/>
      <c r="I42" s="4"/>
      <c r="J42" s="4"/>
      <c r="L42" s="4"/>
      <c r="M42" s="4"/>
      <c r="O42" s="4"/>
      <c r="P42" s="181" t="s">
        <v>180</v>
      </c>
      <c r="Q42" s="182" t="s">
        <v>42</v>
      </c>
      <c r="R42" s="183" t="s">
        <v>181</v>
      </c>
      <c r="S42" s="4"/>
      <c r="T42" s="195"/>
      <c r="U42" s="4"/>
      <c r="V42" s="152" t="s">
        <v>183</v>
      </c>
      <c r="W42" s="155">
        <f>P40*X42</f>
        <v>60114714.361477368</v>
      </c>
      <c r="X42" s="255">
        <f>Y41/12</f>
        <v>8.1294806170521677E-3</v>
      </c>
      <c r="Y42" s="194"/>
    </row>
    <row r="43" spans="1:26" ht="15.75" thickBot="1">
      <c r="L43" s="4"/>
      <c r="M43" s="4"/>
      <c r="O43" s="80"/>
      <c r="P43" s="321">
        <f>+P39+P38+P34+P33+P32+P31+P30+P29+P28+P24</f>
        <v>3524000000</v>
      </c>
      <c r="Q43" s="184">
        <f>+P40</f>
        <v>7394656214</v>
      </c>
      <c r="R43" s="322">
        <f>Q43-P43</f>
        <v>3870656214</v>
      </c>
      <c r="S43" s="4"/>
      <c r="T43" s="196"/>
      <c r="U43" s="196"/>
      <c r="V43" s="197"/>
      <c r="W43" s="198"/>
      <c r="X43" s="198"/>
    </row>
    <row r="44" spans="1:26">
      <c r="T44" s="199"/>
      <c r="U44" s="200"/>
      <c r="V44" s="201"/>
      <c r="W44" s="202"/>
      <c r="X44" s="202"/>
    </row>
    <row r="45" spans="1:26">
      <c r="B45" s="231" t="s">
        <v>213</v>
      </c>
      <c r="C45" s="231" t="s">
        <v>104</v>
      </c>
      <c r="N45"/>
      <c r="O45"/>
      <c r="T45" s="203"/>
      <c r="U45" s="204"/>
      <c r="V45" s="205"/>
      <c r="W45" s="205"/>
      <c r="X45" s="205"/>
    </row>
    <row r="46" spans="1:26">
      <c r="B46" s="230" t="s">
        <v>170</v>
      </c>
      <c r="C46" s="232">
        <v>-1989519728</v>
      </c>
      <c r="N46"/>
      <c r="O46"/>
      <c r="P46" s="168" t="s">
        <v>188</v>
      </c>
      <c r="Q46" s="168" t="s">
        <v>190</v>
      </c>
    </row>
    <row r="47" spans="1:26">
      <c r="N47"/>
      <c r="O47"/>
      <c r="P47" s="169" t="s">
        <v>186</v>
      </c>
      <c r="Q47" s="185">
        <v>8</v>
      </c>
    </row>
    <row r="48" spans="1:26">
      <c r="N48"/>
      <c r="O48"/>
      <c r="P48" s="169" t="s">
        <v>187</v>
      </c>
      <c r="Q48" s="185">
        <v>10</v>
      </c>
      <c r="Y48" s="107"/>
    </row>
    <row r="49" spans="1:28">
      <c r="N49"/>
      <c r="O49"/>
      <c r="P49" s="169" t="s">
        <v>21</v>
      </c>
      <c r="Q49" s="185">
        <v>20</v>
      </c>
      <c r="Y49" s="107"/>
    </row>
    <row r="50" spans="1:28">
      <c r="N50"/>
      <c r="O50"/>
      <c r="P50" s="171" t="s">
        <v>189</v>
      </c>
      <c r="Q50" s="186">
        <v>38</v>
      </c>
      <c r="R50" s="42"/>
      <c r="Y50" s="107"/>
    </row>
    <row r="51" spans="1:28" s="178" customFormat="1">
      <c r="A51" s="97"/>
      <c r="D51" s="97"/>
      <c r="E51" s="174"/>
      <c r="F51" s="174"/>
      <c r="G51" s="174"/>
      <c r="H51" s="174"/>
      <c r="I51" s="174"/>
      <c r="J51" s="174"/>
      <c r="K51" s="157"/>
      <c r="L51" s="166"/>
      <c r="M51" s="166"/>
      <c r="N51" s="175"/>
      <c r="O51" s="175"/>
      <c r="P51" s="179"/>
      <c r="Q51" s="180"/>
      <c r="R51" s="176"/>
      <c r="S51" s="167"/>
      <c r="T51" s="177"/>
      <c r="U51" s="166"/>
      <c r="V51" s="97"/>
      <c r="W51" s="97"/>
      <c r="X51" s="97"/>
      <c r="Y51" s="107"/>
      <c r="Z51" s="105"/>
      <c r="AA51" s="256"/>
      <c r="AB51" s="105"/>
    </row>
    <row r="52" spans="1:28">
      <c r="E52" s="173"/>
      <c r="F52" s="173"/>
      <c r="G52" s="173"/>
      <c r="H52"/>
      <c r="I52" s="173"/>
      <c r="J52" s="173"/>
      <c r="N52"/>
      <c r="O52"/>
      <c r="P52" s="188" t="s">
        <v>93</v>
      </c>
      <c r="Q52" s="40" t="s">
        <v>179</v>
      </c>
      <c r="R52" s="42"/>
      <c r="Y52" s="107"/>
      <c r="AA52" s="256"/>
    </row>
    <row r="53" spans="1:28">
      <c r="H53"/>
      <c r="N53"/>
      <c r="O53"/>
      <c r="R53" s="42"/>
      <c r="Y53" s="107"/>
      <c r="AA53" s="256"/>
    </row>
    <row r="54" spans="1:28">
      <c r="H54" s="251"/>
      <c r="N54"/>
      <c r="O54"/>
      <c r="P54" s="168" t="s">
        <v>188</v>
      </c>
      <c r="Q54" s="168" t="s">
        <v>202</v>
      </c>
      <c r="R54"/>
      <c r="Y54" s="107"/>
    </row>
    <row r="55" spans="1:28">
      <c r="H55"/>
      <c r="N55"/>
      <c r="O55"/>
      <c r="P55" s="169" t="s">
        <v>186</v>
      </c>
      <c r="Q55" s="170">
        <v>1835000000</v>
      </c>
      <c r="R55"/>
      <c r="Y55" s="107"/>
    </row>
    <row r="56" spans="1:28">
      <c r="H56"/>
      <c r="N56"/>
      <c r="O56"/>
      <c r="P56" s="169" t="s">
        <v>187</v>
      </c>
      <c r="Q56" s="170">
        <v>2311000000</v>
      </c>
      <c r="R56"/>
      <c r="Y56" s="107"/>
    </row>
    <row r="57" spans="1:28">
      <c r="H57" s="252"/>
      <c r="N57"/>
      <c r="O57"/>
      <c r="P57" s="169" t="s">
        <v>21</v>
      </c>
      <c r="Q57" s="170">
        <v>2545628790</v>
      </c>
      <c r="R57"/>
      <c r="Y57" s="107"/>
    </row>
    <row r="58" spans="1:28">
      <c r="C58" s="194"/>
      <c r="E58" s="4"/>
      <c r="N58"/>
      <c r="O58"/>
      <c r="P58" s="171" t="s">
        <v>189</v>
      </c>
      <c r="Q58" s="172">
        <v>6691628790</v>
      </c>
      <c r="R58"/>
    </row>
    <row r="59" spans="1:28" ht="15.75" thickBot="1">
      <c r="M59" s="141">
        <f>-N44</f>
        <v>0</v>
      </c>
      <c r="N59"/>
      <c r="O59"/>
      <c r="P59"/>
      <c r="Q59" s="41"/>
    </row>
    <row r="60" spans="1:28" ht="15.75" thickBot="1">
      <c r="N60"/>
      <c r="O60"/>
      <c r="P60" s="189" t="s">
        <v>93</v>
      </c>
      <c r="Q60" s="190" t="s">
        <v>191</v>
      </c>
    </row>
    <row r="61" spans="1:28" ht="15.75" thickBot="1">
      <c r="H61" s="151"/>
      <c r="O61"/>
    </row>
    <row r="62" spans="1:28" ht="15.75" thickBot="1">
      <c r="B62" s="2" t="s">
        <v>214</v>
      </c>
      <c r="O62"/>
      <c r="P62" s="161" t="s">
        <v>188</v>
      </c>
      <c r="Q62" s="161" t="s">
        <v>202</v>
      </c>
    </row>
    <row r="63" spans="1:28">
      <c r="O63"/>
      <c r="P63" s="192" t="s">
        <v>186</v>
      </c>
      <c r="Q63" s="163">
        <v>10000</v>
      </c>
    </row>
    <row r="64" spans="1:28">
      <c r="O64"/>
      <c r="P64" s="227" t="s">
        <v>187</v>
      </c>
      <c r="Q64" s="191">
        <v>25060.1</v>
      </c>
    </row>
    <row r="65" spans="2:17" ht="15.75" thickBot="1">
      <c r="B65" s="72"/>
      <c r="C65" s="72"/>
      <c r="D65" s="72"/>
      <c r="O65"/>
      <c r="P65" s="193" t="s">
        <v>21</v>
      </c>
      <c r="Q65" s="191">
        <v>109000</v>
      </c>
    </row>
    <row r="66" spans="2:17" ht="15.75" thickBot="1">
      <c r="O66"/>
      <c r="P66" s="162" t="s">
        <v>189</v>
      </c>
      <c r="Q66" s="164">
        <v>144060.1</v>
      </c>
    </row>
    <row r="67" spans="2:17">
      <c r="P67" s="166"/>
      <c r="Q67" s="167"/>
    </row>
    <row r="68" spans="2:17">
      <c r="B68" s="73"/>
      <c r="C68" s="73"/>
      <c r="D68" s="73"/>
    </row>
    <row r="69" spans="2:17">
      <c r="J69" s="153"/>
    </row>
    <row r="70" spans="2:17">
      <c r="K70" s="151"/>
    </row>
    <row r="71" spans="2:17">
      <c r="B71" s="73"/>
      <c r="C71" s="73"/>
      <c r="D71" s="73"/>
      <c r="K71" s="151"/>
    </row>
    <row r="72" spans="2:17">
      <c r="K72" s="151"/>
    </row>
    <row r="73" spans="2:17">
      <c r="K73" s="151"/>
    </row>
    <row r="74" spans="2:17">
      <c r="B74" s="73"/>
      <c r="C74" s="73"/>
      <c r="D74" s="73"/>
      <c r="K74" s="151"/>
    </row>
    <row r="75" spans="2:17">
      <c r="B75" s="1"/>
      <c r="C75" s="1"/>
      <c r="D75" s="1"/>
      <c r="K75" s="151"/>
    </row>
    <row r="77" spans="2:17">
      <c r="B77" s="73"/>
      <c r="C77" s="73"/>
      <c r="D77" s="73"/>
    </row>
    <row r="78" spans="2:17">
      <c r="B78" s="74"/>
      <c r="C78" s="74"/>
      <c r="D78" s="74"/>
    </row>
    <row r="79" spans="2:17">
      <c r="B79" s="74"/>
      <c r="C79" s="74"/>
      <c r="D79" s="74"/>
    </row>
  </sheetData>
  <mergeCells count="1">
    <mergeCell ref="B1:U1"/>
  </mergeCells>
  <hyperlinks>
    <hyperlink ref="H57" r:id="rId4" display="https://bancadigital.solar.com.py/facturas-y-extractos/facturas"/>
  </hyperlinks>
  <pageMargins left="0.7" right="0.7" top="0.75" bottom="0.75" header="0.3" footer="0.3"/>
  <pageSetup paperSize="300" scale="35" orientation="landscape" r:id="rId5"/>
  <drawing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20"/>
  <sheetViews>
    <sheetView zoomScale="70" zoomScaleNormal="70" workbookViewId="0">
      <selection activeCell="K23" sqref="K23"/>
    </sheetView>
  </sheetViews>
  <sheetFormatPr baseColWidth="10" defaultRowHeight="15"/>
  <cols>
    <col min="1" max="3" width="11.42578125" style="235"/>
    <col min="4" max="4" width="12.140625" style="235" customWidth="1"/>
    <col min="5" max="5" width="11.42578125" style="235" customWidth="1"/>
    <col min="6" max="6" width="16.28515625" style="235" customWidth="1"/>
    <col min="7" max="7" width="18" style="235" bestFit="1" customWidth="1"/>
    <col min="8" max="8" width="15.5703125" style="235" bestFit="1" customWidth="1"/>
    <col min="9" max="9" width="9.85546875" style="235" customWidth="1"/>
    <col min="10" max="10" width="12.85546875" style="235" customWidth="1"/>
    <col min="11" max="11" width="9.28515625" style="235" customWidth="1"/>
    <col min="12" max="12" width="12.7109375" style="235" customWidth="1"/>
    <col min="13" max="13" width="11.42578125" style="235"/>
    <col min="14" max="14" width="18.42578125" style="235" customWidth="1"/>
    <col min="15" max="15" width="22" style="235" customWidth="1"/>
    <col min="16" max="16" width="17" style="235" customWidth="1"/>
    <col min="17" max="17" width="18.42578125" style="235" customWidth="1"/>
    <col min="18" max="18" width="11.42578125" style="235"/>
    <col min="19" max="19" width="12.140625" style="235" customWidth="1"/>
    <col min="20" max="20" width="13.140625" style="235" customWidth="1"/>
    <col min="21" max="21" width="11.42578125" style="235"/>
    <col min="22" max="22" width="13.140625" style="235" customWidth="1"/>
    <col min="23" max="23" width="14.28515625" style="235" customWidth="1"/>
    <col min="24" max="24" width="14.42578125" style="235" customWidth="1"/>
    <col min="25" max="16384" width="11.42578125" style="235"/>
  </cols>
  <sheetData>
    <row r="3" spans="1:24" ht="27" customHeight="1">
      <c r="A3" s="37" t="s">
        <v>0</v>
      </c>
      <c r="B3" s="66" t="s">
        <v>94</v>
      </c>
      <c r="C3" s="66" t="s">
        <v>206</v>
      </c>
      <c r="D3" s="66" t="s">
        <v>157</v>
      </c>
      <c r="E3" s="66" t="s">
        <v>158</v>
      </c>
      <c r="F3" s="66" t="s">
        <v>159</v>
      </c>
      <c r="G3" s="37" t="s">
        <v>8</v>
      </c>
      <c r="H3" s="249" t="s">
        <v>174</v>
      </c>
      <c r="I3" s="301" t="s">
        <v>1</v>
      </c>
      <c r="J3" s="301" t="s">
        <v>55</v>
      </c>
      <c r="K3" s="250" t="s">
        <v>2</v>
      </c>
      <c r="L3" s="37" t="s">
        <v>26</v>
      </c>
      <c r="M3" s="37" t="s">
        <v>93</v>
      </c>
      <c r="N3" s="250" t="s">
        <v>3</v>
      </c>
      <c r="O3" s="37" t="s">
        <v>4</v>
      </c>
      <c r="P3" s="303" t="s">
        <v>24</v>
      </c>
      <c r="Q3" s="303" t="s">
        <v>79</v>
      </c>
      <c r="R3" s="37" t="s">
        <v>38</v>
      </c>
      <c r="S3" s="37" t="s">
        <v>44</v>
      </c>
      <c r="T3" s="70" t="s">
        <v>6</v>
      </c>
      <c r="U3" s="37" t="s">
        <v>7</v>
      </c>
      <c r="V3" s="37" t="s">
        <v>74</v>
      </c>
      <c r="W3" s="37" t="s">
        <v>75</v>
      </c>
      <c r="X3" s="37" t="s">
        <v>78</v>
      </c>
    </row>
    <row r="4" spans="1:24" s="107" customFormat="1" ht="15" customHeight="1">
      <c r="A4" s="257" t="s">
        <v>65</v>
      </c>
      <c r="B4" s="257" t="s">
        <v>21</v>
      </c>
      <c r="C4" s="258">
        <f ca="1">Tabla2[[#This Row],[Vencimiento]]-TODAY()</f>
        <v>16</v>
      </c>
      <c r="D4" s="259">
        <v>46288</v>
      </c>
      <c r="E4" s="260">
        <f ca="1">TODAY()-Tabla2[[#This Row],[FECHA DE COMPRA]]</f>
        <v>20</v>
      </c>
      <c r="F4" s="300">
        <f ca="1">+Tabla2[[#This Row],[Valor Nominal]]*Tabla2[[#This Row],[DIAS EN CARTERA]]*Tabla2[[#This Row],[TNA Remarcada]]/365</f>
        <v>253.96335890410961</v>
      </c>
      <c r="G4" s="262" t="s">
        <v>215</v>
      </c>
      <c r="H4" s="263">
        <v>35</v>
      </c>
      <c r="I4" s="264">
        <v>0.06</v>
      </c>
      <c r="J4" s="264">
        <v>5.5E-2</v>
      </c>
      <c r="K4" s="265">
        <v>1</v>
      </c>
      <c r="L4" s="262" t="s">
        <v>27</v>
      </c>
      <c r="M4" s="266" t="s">
        <v>191</v>
      </c>
      <c r="N4" s="267">
        <v>84269.66</v>
      </c>
      <c r="O4" s="268">
        <f>+Tabla2[[#This Row],[Valor por Corte]]</f>
        <v>84269.66</v>
      </c>
      <c r="P4" s="268">
        <v>88890.49</v>
      </c>
      <c r="Q4" s="269">
        <v>524453891.00000006</v>
      </c>
      <c r="R4" s="270"/>
      <c r="S4" s="270"/>
      <c r="T4" s="271">
        <v>46324</v>
      </c>
      <c r="U4" s="272" t="s">
        <v>77</v>
      </c>
      <c r="V4" s="104">
        <f>Tabla2[[#This Row],[Valor Nominal]]/$O$9</f>
        <v>0.62761505465940703</v>
      </c>
      <c r="W4" s="273">
        <f>Tabla2[[#This Row],[PESO DE CADA INVERSIÓN / TOTAL]]*Tabla2[[#This Row],[TNA Remarcada]]</f>
        <v>3.4518828006267384E-2</v>
      </c>
      <c r="X4" s="274"/>
    </row>
    <row r="5" spans="1:24" s="107" customFormat="1" ht="15" customHeight="1">
      <c r="A5" s="275" t="s">
        <v>56</v>
      </c>
      <c r="B5" s="257" t="s">
        <v>187</v>
      </c>
      <c r="C5" s="258">
        <f ca="1">Tabla2[[#This Row],[Vencimiento]]-TODAY()</f>
        <v>1499</v>
      </c>
      <c r="D5" s="276">
        <v>46272</v>
      </c>
      <c r="E5" s="260">
        <f ca="1">TODAY()-Tabla2[[#This Row],[FECHA DE COMPRA]]</f>
        <v>36</v>
      </c>
      <c r="F5" s="300">
        <f ca="1">+Tabla2[[#This Row],[Valor Nominal]]*Tabla2[[#This Row],[DIAS EN CARTERA]]*Tabla2[[#This Row],[TNA Remarcada]]/365</f>
        <v>151.64383561643837</v>
      </c>
      <c r="G5" s="246" t="s">
        <v>203</v>
      </c>
      <c r="H5" s="277">
        <v>1518</v>
      </c>
      <c r="I5" s="278">
        <v>6.7500000000000004E-2</v>
      </c>
      <c r="J5" s="278">
        <v>6.1499999999999999E-2</v>
      </c>
      <c r="K5" s="279">
        <v>1</v>
      </c>
      <c r="L5" s="246" t="s">
        <v>27</v>
      </c>
      <c r="M5" s="266" t="s">
        <v>191</v>
      </c>
      <c r="N5" s="280">
        <v>25000</v>
      </c>
      <c r="O5" s="281">
        <v>25000</v>
      </c>
      <c r="P5" s="282">
        <v>25617.01</v>
      </c>
      <c r="Q5" s="283">
        <v>151140359</v>
      </c>
      <c r="R5" s="270"/>
      <c r="S5" s="270"/>
      <c r="T5" s="284">
        <v>47807</v>
      </c>
      <c r="U5" s="284" t="s">
        <v>61</v>
      </c>
      <c r="V5" s="104">
        <f>Tabla2[[#This Row],[Valor Nominal]]/$O$9</f>
        <v>0.18619247267029648</v>
      </c>
      <c r="W5" s="273">
        <f>Tabla2[[#This Row],[PESO DE CADA INVERSIÓN / TOTAL]]*Tabla2[[#This Row],[TNA Remarcada]]</f>
        <v>1.1450837069223233E-2</v>
      </c>
      <c r="X5" s="285"/>
    </row>
    <row r="6" spans="1:24" s="107" customFormat="1" ht="15" customHeight="1">
      <c r="A6" s="275" t="s">
        <v>165</v>
      </c>
      <c r="B6" s="257" t="s">
        <v>21</v>
      </c>
      <c r="C6" s="258">
        <f ca="1">Tabla2[[#This Row],[Vencimiento]]-TODAY()</f>
        <v>300</v>
      </c>
      <c r="D6" s="259">
        <v>46255</v>
      </c>
      <c r="E6" s="260">
        <f ca="1">TODAY()-Tabla2[[#This Row],[FECHA DE COMPRA]]</f>
        <v>53</v>
      </c>
      <c r="F6" s="300">
        <f ca="1">+Tabla2[[#This Row],[Valor Nominal]]*Tabla2[[#This Row],[DIAS EN CARTERA]]*Tabla2[[#This Row],[TNA Remarcada]]/365</f>
        <v>326.71232876712327</v>
      </c>
      <c r="G6" s="262" t="s">
        <v>185</v>
      </c>
      <c r="H6" s="263">
        <v>319</v>
      </c>
      <c r="I6" s="264">
        <v>7.2499999999999995E-2</v>
      </c>
      <c r="J6" s="264">
        <v>0.09</v>
      </c>
      <c r="K6" s="265">
        <v>1</v>
      </c>
      <c r="L6" s="262" t="s">
        <v>28</v>
      </c>
      <c r="M6" s="266" t="s">
        <v>191</v>
      </c>
      <c r="N6" s="286">
        <v>25000</v>
      </c>
      <c r="O6" s="267">
        <v>25000</v>
      </c>
      <c r="P6" s="287">
        <v>24705.46</v>
      </c>
      <c r="Q6" s="283">
        <v>145762214</v>
      </c>
      <c r="R6" s="270"/>
      <c r="S6" s="288"/>
      <c r="T6" s="271">
        <v>46608</v>
      </c>
      <c r="U6" s="284" t="s">
        <v>63</v>
      </c>
      <c r="V6" s="104">
        <f>Tabla2[[#This Row],[Valor Nominal]]/$O$9</f>
        <v>0.18619247267029648</v>
      </c>
      <c r="W6" s="273">
        <f>Tabla2[[#This Row],[PESO DE CADA INVERSIÓN / TOTAL]]*Tabla2[[#This Row],[TNA Remarcada]]</f>
        <v>1.6757322540326684E-2</v>
      </c>
      <c r="X6" s="285"/>
    </row>
    <row r="7" spans="1:24" ht="15.75" thickBot="1">
      <c r="A7" s="289"/>
      <c r="B7" s="289"/>
      <c r="C7" s="289"/>
      <c r="D7" s="289"/>
      <c r="E7" s="260"/>
      <c r="F7" s="290"/>
      <c r="G7" s="289"/>
      <c r="H7" s="263"/>
      <c r="I7" s="253"/>
      <c r="J7" s="253"/>
      <c r="K7" s="286"/>
      <c r="L7" s="262"/>
      <c r="M7" s="262"/>
      <c r="N7" s="289"/>
      <c r="O7" s="267"/>
      <c r="P7" s="289"/>
      <c r="Q7" s="289"/>
      <c r="R7" s="291"/>
      <c r="S7" s="291"/>
      <c r="T7" s="289"/>
      <c r="U7" s="289"/>
      <c r="V7" s="253">
        <f>SUBTOTAL(109,Tabla2[PESO DE CADA INVERSIÓN / TOTAL])</f>
        <v>1</v>
      </c>
      <c r="W7" s="292">
        <f>SUBTOTAL(109,Tabla2[CUANTO SUMA CADA INVERSIÓN A LA RENTABILIDAD])</f>
        <v>6.2726987615817298E-2</v>
      </c>
      <c r="X7" s="299">
        <f>Tabla2[[#Totals],[CUANTO SUMA CADA INVERSIÓN A LA RENTABILIDAD]]/12</f>
        <v>5.2272489679847751E-3</v>
      </c>
    </row>
    <row r="8" spans="1:24" ht="24" thickBot="1">
      <c r="N8" s="298" t="s">
        <v>180</v>
      </c>
      <c r="O8" s="296" t="s">
        <v>42</v>
      </c>
      <c r="P8" s="293" t="s">
        <v>181</v>
      </c>
      <c r="U8" s="304"/>
      <c r="V8" s="305" t="s">
        <v>183</v>
      </c>
      <c r="W8" s="306">
        <f>+O9*Tabla2[[#Totals],[Observaciones]]</f>
        <v>701.86094166666669</v>
      </c>
      <c r="X8" s="295"/>
    </row>
    <row r="9" spans="1:24" ht="15.75" thickBot="1">
      <c r="N9" s="297">
        <v>0</v>
      </c>
      <c r="O9" s="294">
        <f>+O4+O5+O6</f>
        <v>134269.66</v>
      </c>
      <c r="P9" s="302">
        <f>O9-N9</f>
        <v>134269.66</v>
      </c>
    </row>
    <row r="19" spans="1:2">
      <c r="A19" s="231" t="s">
        <v>213</v>
      </c>
      <c r="B19" s="231" t="s">
        <v>104</v>
      </c>
    </row>
    <row r="20" spans="1:2">
      <c r="A20" s="230" t="s">
        <v>191</v>
      </c>
      <c r="B20" s="232">
        <v>-104889.55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17"/>
  <sheetViews>
    <sheetView topLeftCell="A7" workbookViewId="0">
      <selection activeCell="F26" sqref="F26"/>
    </sheetView>
  </sheetViews>
  <sheetFormatPr baseColWidth="10" defaultColWidth="11.42578125" defaultRowHeight="15"/>
  <cols>
    <col min="1" max="7" width="11.42578125" style="235"/>
    <col min="8" max="8" width="13" style="235" bestFit="1" customWidth="1"/>
    <col min="9" max="16384" width="11.42578125" style="235"/>
  </cols>
  <sheetData>
    <row r="5" spans="2:10">
      <c r="C5" s="236">
        <v>9.5000000000000001E-2</v>
      </c>
    </row>
    <row r="6" spans="2:10">
      <c r="C6" s="236">
        <v>8.8999999999999996E-2</v>
      </c>
    </row>
    <row r="7" spans="2:10">
      <c r="C7" s="236"/>
    </row>
    <row r="8" spans="2:10">
      <c r="C8" s="237"/>
    </row>
    <row r="9" spans="2:10" ht="15.75" thickBot="1"/>
    <row r="10" spans="2:10">
      <c r="B10" s="238" t="s">
        <v>82</v>
      </c>
      <c r="C10" s="239"/>
      <c r="D10" s="239"/>
      <c r="E10" s="239"/>
      <c r="F10" s="239"/>
      <c r="G10" s="239"/>
      <c r="H10" s="239"/>
      <c r="I10" s="239"/>
      <c r="J10" s="240"/>
    </row>
    <row r="11" spans="2:10">
      <c r="B11" s="241" t="s">
        <v>84</v>
      </c>
      <c r="C11" s="242"/>
      <c r="D11" s="242"/>
      <c r="E11" s="242"/>
      <c r="F11" s="242"/>
      <c r="G11" s="242"/>
      <c r="H11" s="242" t="s">
        <v>8</v>
      </c>
      <c r="I11" s="242" t="s">
        <v>2</v>
      </c>
      <c r="J11" s="243" t="s">
        <v>90</v>
      </c>
    </row>
    <row r="12" spans="2:10">
      <c r="B12" s="244" t="s">
        <v>83</v>
      </c>
      <c r="C12" s="244"/>
      <c r="D12" s="244"/>
      <c r="E12" s="245"/>
      <c r="F12" s="244"/>
      <c r="G12" s="244"/>
      <c r="H12" s="246" t="s">
        <v>85</v>
      </c>
      <c r="I12" s="247">
        <v>1100</v>
      </c>
      <c r="J12" s="248" t="s">
        <v>89</v>
      </c>
    </row>
    <row r="13" spans="2:10">
      <c r="B13" s="244" t="s">
        <v>86</v>
      </c>
      <c r="C13" s="244"/>
      <c r="D13" s="244"/>
      <c r="E13" s="245"/>
      <c r="F13" s="244"/>
      <c r="G13" s="244"/>
      <c r="H13" s="246" t="s">
        <v>87</v>
      </c>
      <c r="I13" s="247">
        <v>1717</v>
      </c>
      <c r="J13" s="248">
        <v>0.11</v>
      </c>
    </row>
    <row r="14" spans="2:10">
      <c r="B14" s="244" t="s">
        <v>88</v>
      </c>
      <c r="C14" s="244"/>
      <c r="D14" s="244"/>
      <c r="E14" s="245"/>
      <c r="F14" s="244"/>
      <c r="G14" s="244"/>
      <c r="H14" s="246" t="s">
        <v>59</v>
      </c>
      <c r="I14" s="247">
        <v>415</v>
      </c>
      <c r="J14" s="248">
        <v>0.1085</v>
      </c>
    </row>
    <row r="15" spans="2:10">
      <c r="B15" s="244" t="s">
        <v>162</v>
      </c>
      <c r="C15" s="244"/>
      <c r="D15" s="244"/>
      <c r="E15" s="245"/>
      <c r="F15" s="245"/>
      <c r="G15" s="245"/>
      <c r="H15" s="245"/>
      <c r="I15" s="245"/>
      <c r="J15" s="245"/>
    </row>
    <row r="16" spans="2:10">
      <c r="B16" s="244" t="s">
        <v>163</v>
      </c>
      <c r="C16" s="244"/>
      <c r="D16" s="244"/>
      <c r="E16" s="245"/>
      <c r="F16" s="245"/>
      <c r="G16" s="245"/>
      <c r="H16" s="245"/>
      <c r="I16" s="245"/>
      <c r="J16" s="245"/>
    </row>
    <row r="17" spans="2:10">
      <c r="B17" s="107"/>
      <c r="C17" s="107"/>
      <c r="D17" s="107"/>
      <c r="E17" s="245"/>
      <c r="F17" s="245"/>
      <c r="G17" s="245"/>
      <c r="H17" s="245"/>
      <c r="I17" s="245"/>
      <c r="J17" s="2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14"/>
  <sheetViews>
    <sheetView workbookViewId="0">
      <selection activeCell="D30" sqref="D30"/>
    </sheetView>
  </sheetViews>
  <sheetFormatPr baseColWidth="10" defaultRowHeight="15"/>
  <sheetData>
    <row r="4" spans="3:3">
      <c r="C4" t="s">
        <v>192</v>
      </c>
    </row>
    <row r="5" spans="3:3">
      <c r="C5" t="s">
        <v>193</v>
      </c>
    </row>
    <row r="6" spans="3:3">
      <c r="C6" t="s">
        <v>194</v>
      </c>
    </row>
    <row r="7" spans="3:3">
      <c r="C7" t="s">
        <v>195</v>
      </c>
    </row>
    <row r="10" spans="3:3">
      <c r="C10" t="s">
        <v>196</v>
      </c>
    </row>
    <row r="11" spans="3:3">
      <c r="C11" t="s">
        <v>197</v>
      </c>
    </row>
    <row r="12" spans="3:3">
      <c r="C12" t="s">
        <v>198</v>
      </c>
    </row>
    <row r="13" spans="3:3">
      <c r="C13" t="s">
        <v>199</v>
      </c>
    </row>
    <row r="14" spans="3:3">
      <c r="C14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2"/>
  <sheetViews>
    <sheetView topLeftCell="D16" workbookViewId="0">
      <selection activeCell="F17" sqref="F17"/>
    </sheetView>
  </sheetViews>
  <sheetFormatPr baseColWidth="10" defaultRowHeight="15"/>
  <cols>
    <col min="6" max="6" width="49.85546875" bestFit="1" customWidth="1"/>
    <col min="7" max="7" width="13.5703125" bestFit="1" customWidth="1"/>
    <col min="14" max="14" width="13.28515625" bestFit="1" customWidth="1"/>
    <col min="15" max="15" width="13.42578125" bestFit="1" customWidth="1"/>
  </cols>
  <sheetData>
    <row r="2" spans="2:17">
      <c r="B2" s="43" t="s">
        <v>92</v>
      </c>
      <c r="C2" s="44" t="s">
        <v>93</v>
      </c>
      <c r="D2" s="44" t="s">
        <v>94</v>
      </c>
      <c r="E2" s="45" t="s">
        <v>95</v>
      </c>
      <c r="F2" s="44" t="s">
        <v>96</v>
      </c>
      <c r="G2" s="44" t="s">
        <v>97</v>
      </c>
      <c r="H2" s="44" t="s">
        <v>98</v>
      </c>
      <c r="I2" s="44" t="s">
        <v>99</v>
      </c>
      <c r="J2" s="45" t="s">
        <v>100</v>
      </c>
      <c r="K2" s="45" t="s">
        <v>101</v>
      </c>
      <c r="L2" s="44" t="s">
        <v>102</v>
      </c>
      <c r="M2" s="45" t="s">
        <v>103</v>
      </c>
      <c r="N2" s="45" t="s">
        <v>104</v>
      </c>
      <c r="O2" s="45" t="s">
        <v>105</v>
      </c>
      <c r="P2" s="44" t="s">
        <v>106</v>
      </c>
      <c r="Q2" s="46" t="s">
        <v>107</v>
      </c>
    </row>
    <row r="3" spans="2:17">
      <c r="B3" s="47" t="s">
        <v>108</v>
      </c>
      <c r="C3" s="48" t="s">
        <v>109</v>
      </c>
      <c r="D3" s="48" t="s">
        <v>110</v>
      </c>
      <c r="E3" s="49" t="s">
        <v>111</v>
      </c>
      <c r="F3" s="48" t="s">
        <v>56</v>
      </c>
      <c r="G3" s="48" t="s">
        <v>34</v>
      </c>
      <c r="H3" s="48" t="s">
        <v>112</v>
      </c>
      <c r="I3" s="48" t="s">
        <v>113</v>
      </c>
      <c r="J3" s="49" t="s">
        <v>114</v>
      </c>
      <c r="K3" s="49">
        <v>7</v>
      </c>
      <c r="L3" s="48" t="s">
        <v>115</v>
      </c>
      <c r="M3" s="49" t="s">
        <v>116</v>
      </c>
      <c r="N3" s="50">
        <v>20000000</v>
      </c>
      <c r="O3" s="50">
        <v>20000000</v>
      </c>
      <c r="P3" s="48" t="s">
        <v>117</v>
      </c>
      <c r="Q3" s="51" t="s">
        <v>118</v>
      </c>
    </row>
    <row r="4" spans="2:17">
      <c r="B4" s="52" t="s">
        <v>108</v>
      </c>
      <c r="C4" s="53" t="s">
        <v>109</v>
      </c>
      <c r="D4" s="53" t="s">
        <v>110</v>
      </c>
      <c r="E4" s="54" t="s">
        <v>119</v>
      </c>
      <c r="F4" s="53" t="s">
        <v>120</v>
      </c>
      <c r="G4" s="53" t="s">
        <v>32</v>
      </c>
      <c r="H4" s="53" t="s">
        <v>121</v>
      </c>
      <c r="I4" s="53" t="s">
        <v>122</v>
      </c>
      <c r="J4" s="54" t="s">
        <v>123</v>
      </c>
      <c r="K4" s="54">
        <v>7</v>
      </c>
      <c r="L4" s="53" t="s">
        <v>124</v>
      </c>
      <c r="M4" s="54" t="s">
        <v>125</v>
      </c>
      <c r="N4" s="55">
        <v>26000000</v>
      </c>
      <c r="O4" s="55">
        <v>26000000</v>
      </c>
      <c r="P4" s="53" t="s">
        <v>126</v>
      </c>
      <c r="Q4" s="56" t="s">
        <v>127</v>
      </c>
    </row>
    <row r="5" spans="2:17">
      <c r="B5" s="47" t="s">
        <v>108</v>
      </c>
      <c r="C5" s="48" t="s">
        <v>109</v>
      </c>
      <c r="D5" s="48" t="s">
        <v>110</v>
      </c>
      <c r="E5" s="49" t="s">
        <v>128</v>
      </c>
      <c r="F5" s="48" t="s">
        <v>120</v>
      </c>
      <c r="G5" s="48" t="s">
        <v>40</v>
      </c>
      <c r="H5" s="48" t="s">
        <v>112</v>
      </c>
      <c r="I5" s="48" t="s">
        <v>122</v>
      </c>
      <c r="J5" s="49" t="s">
        <v>123</v>
      </c>
      <c r="K5" s="49">
        <v>7</v>
      </c>
      <c r="L5" s="48" t="s">
        <v>129</v>
      </c>
      <c r="M5" s="49" t="s">
        <v>130</v>
      </c>
      <c r="N5" s="50">
        <v>300000000</v>
      </c>
      <c r="O5" s="50">
        <v>300000000</v>
      </c>
      <c r="P5" s="48" t="s">
        <v>131</v>
      </c>
      <c r="Q5" s="51" t="s">
        <v>132</v>
      </c>
    </row>
    <row r="6" spans="2:17">
      <c r="B6" s="52" t="s">
        <v>108</v>
      </c>
      <c r="C6" s="53" t="s">
        <v>109</v>
      </c>
      <c r="D6" s="53" t="s">
        <v>110</v>
      </c>
      <c r="E6" s="54" t="s">
        <v>133</v>
      </c>
      <c r="F6" s="53" t="s">
        <v>134</v>
      </c>
      <c r="G6" s="53" t="s">
        <v>15</v>
      </c>
      <c r="H6" s="53" t="s">
        <v>112</v>
      </c>
      <c r="I6" s="53" t="s">
        <v>135</v>
      </c>
      <c r="J6" s="54" t="s">
        <v>136</v>
      </c>
      <c r="K6" s="54">
        <v>7</v>
      </c>
      <c r="L6" s="53" t="s">
        <v>137</v>
      </c>
      <c r="M6" s="54" t="s">
        <v>138</v>
      </c>
      <c r="N6" s="55">
        <v>200000000</v>
      </c>
      <c r="O6" s="55">
        <v>200000000</v>
      </c>
      <c r="P6" s="53" t="s">
        <v>139</v>
      </c>
      <c r="Q6" s="56" t="s">
        <v>140</v>
      </c>
    </row>
    <row r="7" spans="2:17">
      <c r="B7" s="47" t="s">
        <v>108</v>
      </c>
      <c r="C7" s="48" t="s">
        <v>109</v>
      </c>
      <c r="D7" s="48" t="s">
        <v>110</v>
      </c>
      <c r="E7" s="49" t="s">
        <v>141</v>
      </c>
      <c r="F7" s="48" t="s">
        <v>142</v>
      </c>
      <c r="G7" s="48" t="s">
        <v>16</v>
      </c>
      <c r="H7" s="48" t="s">
        <v>112</v>
      </c>
      <c r="I7" s="48" t="s">
        <v>143</v>
      </c>
      <c r="J7" s="49" t="s">
        <v>144</v>
      </c>
      <c r="K7" s="49">
        <v>7</v>
      </c>
      <c r="L7" s="48" t="s">
        <v>145</v>
      </c>
      <c r="M7" s="49" t="s">
        <v>146</v>
      </c>
      <c r="N7" s="50">
        <v>200000000</v>
      </c>
      <c r="O7" s="50">
        <v>200000000</v>
      </c>
      <c r="P7" s="48" t="s">
        <v>147</v>
      </c>
      <c r="Q7" s="51" t="s">
        <v>148</v>
      </c>
    </row>
    <row r="8" spans="2:17">
      <c r="B8" s="52" t="s">
        <v>108</v>
      </c>
      <c r="C8" s="53" t="s">
        <v>109</v>
      </c>
      <c r="D8" s="53" t="s">
        <v>110</v>
      </c>
      <c r="E8" s="54" t="s">
        <v>149</v>
      </c>
      <c r="F8" s="53" t="s">
        <v>150</v>
      </c>
      <c r="G8" s="53" t="s">
        <v>13</v>
      </c>
      <c r="H8" s="53" t="s">
        <v>112</v>
      </c>
      <c r="I8" s="53" t="s">
        <v>151</v>
      </c>
      <c r="J8" s="54" t="s">
        <v>152</v>
      </c>
      <c r="K8" s="54">
        <v>7</v>
      </c>
      <c r="L8" s="53" t="s">
        <v>153</v>
      </c>
      <c r="M8" s="54" t="s">
        <v>154</v>
      </c>
      <c r="N8" s="55">
        <v>70000000</v>
      </c>
      <c r="O8" s="55">
        <v>70000000</v>
      </c>
      <c r="P8" s="53" t="s">
        <v>155</v>
      </c>
      <c r="Q8" s="56" t="s">
        <v>156</v>
      </c>
    </row>
    <row r="12" spans="2:17" ht="259.5">
      <c r="E12" s="160" t="s">
        <v>201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Book Trading</vt:lpstr>
      <vt:lpstr>CARTERA GS</vt:lpstr>
      <vt:lpstr>CARTERA USD</vt:lpstr>
      <vt:lpstr>Hoja3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Piñanez</dc:creator>
  <cp:lastModifiedBy>Jessy Pereira</cp:lastModifiedBy>
  <cp:lastPrinted>2026-08-18T16:30:06Z</cp:lastPrinted>
  <dcterms:created xsi:type="dcterms:W3CDTF">2025-04-15T20:01:47Z</dcterms:created>
  <dcterms:modified xsi:type="dcterms:W3CDTF">2026-10-13T15:17:30Z</dcterms:modified>
</cp:coreProperties>
</file>